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PC\Desktop\BIMSY\DataCamp\"/>
    </mc:Choice>
  </mc:AlternateContent>
  <xr:revisionPtr revIDLastSave="0" documentId="13_ncr:1_{904D742D-C4A8-4735-8CDE-A1E5A88BAF64}" xr6:coauthVersionLast="47" xr6:coauthVersionMax="47" xr10:uidLastSave="{00000000-0000-0000-0000-000000000000}"/>
  <bookViews>
    <workbookView xWindow="-120" yWindow="-120" windowWidth="20730" windowHeight="11160" firstSheet="4" activeTab="4" xr2:uid="{B817C251-0E97-4BDD-A1D9-EAAABEB4C738}"/>
  </bookViews>
  <sheets>
    <sheet name="Raw Data" sheetId="1" state="hidden" r:id="rId1"/>
    <sheet name="Analysis" sheetId="8" state="hidden" r:id="rId2"/>
    <sheet name="Cleaned Data" sheetId="2" state="hidden" r:id="rId3"/>
    <sheet name="KPI" sheetId="7" state="hidden" r:id="rId4"/>
    <sheet name="Dashboard" sheetId="6" r:id="rId5"/>
  </sheets>
  <definedNames>
    <definedName name="_xlnm._FilterDatabase" localSheetId="2" hidden="1">'Cleaned Data'!$A$1:$I$31</definedName>
    <definedName name="NativeTimeline_HireDate">#N/A</definedName>
    <definedName name="Slicer_Country">#N/A</definedName>
    <definedName name="Slicer_Department">#N/A</definedName>
  </definedNames>
  <calcPr calcId="191029"/>
  <pivotCaches>
    <pivotCache cacheId="14"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1" i="2" l="1"/>
  <c r="L31" i="2"/>
  <c r="J31" i="2"/>
  <c r="K31" i="2" s="1"/>
  <c r="M30" i="2"/>
  <c r="L30" i="2"/>
  <c r="J30" i="2"/>
  <c r="K30" i="2" s="1"/>
  <c r="M29" i="2"/>
  <c r="L29" i="2"/>
  <c r="J29" i="2"/>
  <c r="K29" i="2" s="1"/>
  <c r="M28" i="2"/>
  <c r="L28" i="2"/>
  <c r="J28" i="2"/>
  <c r="K28" i="2" s="1"/>
  <c r="M27" i="2"/>
  <c r="L27" i="2"/>
  <c r="J27" i="2"/>
  <c r="K27" i="2" s="1"/>
  <c r="M26" i="2"/>
  <c r="L26" i="2"/>
  <c r="J26" i="2"/>
  <c r="K26" i="2" s="1"/>
  <c r="M25" i="2"/>
  <c r="L25" i="2"/>
  <c r="J25" i="2"/>
  <c r="K25" i="2" s="1"/>
  <c r="M24" i="2"/>
  <c r="L24" i="2"/>
  <c r="J24" i="2"/>
  <c r="K24" i="2" s="1"/>
  <c r="M23" i="2"/>
  <c r="L23" i="2"/>
  <c r="J23" i="2"/>
  <c r="K23" i="2" s="1"/>
  <c r="M22" i="2"/>
  <c r="L22" i="2"/>
  <c r="J22" i="2"/>
  <c r="K22" i="2" s="1"/>
  <c r="M21" i="2"/>
  <c r="L21" i="2"/>
  <c r="J21" i="2"/>
  <c r="K21" i="2" s="1"/>
  <c r="M20" i="2"/>
  <c r="L20" i="2"/>
  <c r="J20" i="2"/>
  <c r="K20" i="2" s="1"/>
  <c r="M19" i="2"/>
  <c r="L19" i="2"/>
  <c r="J19" i="2"/>
  <c r="K19" i="2" s="1"/>
  <c r="M18" i="2"/>
  <c r="L18" i="2"/>
  <c r="J18" i="2"/>
  <c r="K18" i="2" s="1"/>
  <c r="M17" i="2"/>
  <c r="L17" i="2"/>
  <c r="J17" i="2"/>
  <c r="K17" i="2" s="1"/>
  <c r="M16" i="2"/>
  <c r="L16" i="2"/>
  <c r="J16" i="2"/>
  <c r="K16" i="2" s="1"/>
  <c r="M15" i="2"/>
  <c r="L15" i="2"/>
  <c r="J15" i="2"/>
  <c r="K15" i="2" s="1"/>
  <c r="M14" i="2"/>
  <c r="L14" i="2"/>
  <c r="J14" i="2"/>
  <c r="K14" i="2" s="1"/>
  <c r="M13" i="2"/>
  <c r="L13" i="2"/>
  <c r="J13" i="2"/>
  <c r="K13" i="2" s="1"/>
  <c r="M12" i="2"/>
  <c r="L12" i="2"/>
  <c r="J12" i="2"/>
  <c r="K12" i="2" s="1"/>
  <c r="M11" i="2"/>
  <c r="L11" i="2"/>
  <c r="J11" i="2"/>
  <c r="K11" i="2" s="1"/>
  <c r="M10" i="2"/>
  <c r="L10" i="2"/>
  <c r="J10" i="2"/>
  <c r="K10" i="2" s="1"/>
  <c r="M9" i="2"/>
  <c r="L9" i="2"/>
  <c r="J9" i="2"/>
  <c r="K9" i="2" s="1"/>
  <c r="M8" i="2"/>
  <c r="L8" i="2"/>
  <c r="J8" i="2"/>
  <c r="K8" i="2" s="1"/>
  <c r="M7" i="2"/>
  <c r="L7" i="2"/>
  <c r="J7" i="2"/>
  <c r="K7" i="2" s="1"/>
  <c r="M6" i="2"/>
  <c r="L6" i="2"/>
  <c r="J6" i="2"/>
  <c r="K6" i="2" s="1"/>
  <c r="M5" i="2"/>
  <c r="L5" i="2"/>
  <c r="J5" i="2"/>
  <c r="K5" i="2" s="1"/>
  <c r="M4" i="2"/>
  <c r="L4" i="2"/>
  <c r="J4" i="2"/>
  <c r="K4" i="2" s="1"/>
  <c r="M3" i="2"/>
  <c r="L3" i="2"/>
  <c r="J3" i="2"/>
  <c r="K3" i="2" s="1"/>
  <c r="M2" i="2"/>
  <c r="L2" i="2"/>
  <c r="J2" i="2"/>
  <c r="K2" i="2" s="1"/>
</calcChain>
</file>

<file path=xl/sharedStrings.xml><?xml version="1.0" encoding="utf-8"?>
<sst xmlns="http://schemas.openxmlformats.org/spreadsheetml/2006/main" count="573" uniqueCount="206">
  <si>
    <t>EmpID,FullName,JobTitle,Department,HireDate,Salary,YearsExperience,Country,City</t>
  </si>
  <si>
    <t>EMP001,Laura Doe,HR Specialist,Finance,2012-02-14,78960.73,13.1,Canada,Toronto</t>
  </si>
  <si>
    <t>EMP002,John Brown,Data Analyst,IT,2018-10-07,105887.97,14.8,UK,Berlin</t>
  </si>
  <si>
    <t>EMP003,Jane Smith,Developer,Sales,2019-10-24,97023.20,1.3,Canada,Berlin</t>
  </si>
  <si>
    <t>EMP005,Sophia Lee,Data Scientist,IT,2020-03-15,115450.50,4.5,India,Delhi</t>
  </si>
  <si>
    <t>EMP006,David Kim,Financial Analyst,Finance,2015-09-21,98400.75,9.7,Canada,Toronto</t>
  </si>
  <si>
    <t>EMP007,Emma Garcia,Designer,Marketing,2017-12-11,76500.20,6.1,France,Paris</t>
  </si>
  <si>
    <t>EMP008,Daniel Scott,Software Engineer,IT,2014-07-25,134200.00,12.0,USA,Chicago</t>
  </si>
  <si>
    <t>EMP009,Olivia Miller,Product Manager,Sales,2019-01-09,112300.65,3.9,Germany,Berlin</t>
  </si>
  <si>
    <t>EMP010,William Davis,HR Manager,HR,2013-05-30,89400.80,14.2,Canada,Montreal</t>
  </si>
  <si>
    <t>EMP011,Ethan Wilson,Support Engineer,IT,2018-02-17,68500.90,5.7,USA,Boston</t>
  </si>
  <si>
    <t>EMP012,Ava Taylor,Marketing Specialist,Marketing,2021-06-20,60200.45,2.1,France,Lyon</t>
  </si>
  <si>
    <t>EMP013,Michael Clark,DevOps Engineer,IT,2016-08-05,121300.10,8.5,India,Mumbai</t>
  </si>
  <si>
    <t>EMP014,Isabella White,Data Analyst,Finance,2017-10-19,99800.75,7.3,Canada,Vancouver</t>
  </si>
  <si>
    <t>EMP015,Alexander Hall,Developer,Sales,2014-11-25,109500.25,10.2,UK,London</t>
  </si>
  <si>
    <t>EMP016,Mia Young,Recruiter,HR,2019-04-14,71500.55,4.0,USA,Miami</t>
  </si>
  <si>
    <t>EMP017,Jacob Allen,UI/UX Designer,Marketing,2015-01-09,85000.65,9.5,France,Paris</t>
  </si>
  <si>
    <t>EMP018,Charlotte King,Data Scientist,IT,2022-07-13,125700.85,2.5,India,Bangalore</t>
  </si>
  <si>
    <t>EMP019,Henry Wright,Accountant,Finance,2013-03-18,88000.40,15.0,Canada,Toronto</t>
  </si>
  <si>
    <t>EMP020,Amelia Adams,Software Engineer,IT,2020-08-29,104500.70,3.3,UK,Manchester</t>
  </si>
  <si>
    <t>EMP021,Lucas Nelson,HR Specialist,HR,2016-12-02,78200.35,6.9,USA,Chicago</t>
  </si>
  <si>
    <t>EMP024,Evelyn Rivera,Customer Support,Sales,2019-07-03,58200.80,3.1,UK,Bristol</t>
  </si>
  <si>
    <t>EMP025,Matthew Carter,Financial Analyst,Finance,2017-05-30,93600.60,7.7,India,Hyderabad</t>
  </si>
  <si>
    <t>EMP026,Sofia Mitchell,Data Engineer,IT,2014-10-27,128300.20,11.1,France,Paris</t>
  </si>
  <si>
    <t>EMP027,Benjamin Roberts,Sales Executive,Sales,2016-01-11,74500.35,8.2,Canada,Ottawa</t>
  </si>
  <si>
    <t>EMP028,Abigail Turner,HR Generalist,HR,2015-07-19,81000.55,9.9,USA,Atlanta</t>
  </si>
  <si>
    <t>EMP029,Joseph Phillips,Developer,IT,2018-11-05,115800.00,5.4,India,Chennai</t>
  </si>
  <si>
    <t>EMP004,James Johnson,Project Manager,Operations,2016-06-01,125500.00,11.4,USA,New York</t>
  </si>
  <si>
    <t>EMP023,Daniel Perez,Product Owner,Operations,2012-04-22,134800.95,14.6,USA,San Francisco</t>
  </si>
  <si>
    <t>EMP030,Emily Campbell,Marketing Manager,Marketing,2013-09-23,99500.75,12.7,UK,Liverpool</t>
  </si>
  <si>
    <t>EMP022,Harper Baker,Marketing Analyst,Marketing,2018-09-17,69800.25,5.2,Germany,Hamburg</t>
  </si>
  <si>
    <t>EmpID</t>
  </si>
  <si>
    <t>FullName</t>
  </si>
  <si>
    <t>JobTitle</t>
  </si>
  <si>
    <t>Department</t>
  </si>
  <si>
    <t>HireDate</t>
  </si>
  <si>
    <t>Salary</t>
  </si>
  <si>
    <t>YearsExperience</t>
  </si>
  <si>
    <t>Country</t>
  </si>
  <si>
    <t>City</t>
  </si>
  <si>
    <t>EMP001</t>
  </si>
  <si>
    <t>Laura Doe</t>
  </si>
  <si>
    <t>HR Specialist</t>
  </si>
  <si>
    <t>Finance</t>
  </si>
  <si>
    <t>Canada</t>
  </si>
  <si>
    <t>Toronto</t>
  </si>
  <si>
    <t>EMP002</t>
  </si>
  <si>
    <t>John Brown</t>
  </si>
  <si>
    <t>Data Analyst</t>
  </si>
  <si>
    <t>IT</t>
  </si>
  <si>
    <t>UK</t>
  </si>
  <si>
    <t>Berlin</t>
  </si>
  <si>
    <t>EMP003</t>
  </si>
  <si>
    <t>Jane Smith</t>
  </si>
  <si>
    <t>Developer</t>
  </si>
  <si>
    <t>Sales</t>
  </si>
  <si>
    <t>EMP004</t>
  </si>
  <si>
    <t>James Johnson</t>
  </si>
  <si>
    <t>Project Manager</t>
  </si>
  <si>
    <t>Operations</t>
  </si>
  <si>
    <t>USA</t>
  </si>
  <si>
    <t>New York</t>
  </si>
  <si>
    <t>EMP005</t>
  </si>
  <si>
    <t>Sophia Lee</t>
  </si>
  <si>
    <t>Data Scientist</t>
  </si>
  <si>
    <t>India</t>
  </si>
  <si>
    <t>Delhi</t>
  </si>
  <si>
    <t>EMP006</t>
  </si>
  <si>
    <t>David Kim</t>
  </si>
  <si>
    <t>Financial Analyst</t>
  </si>
  <si>
    <t>EMP007</t>
  </si>
  <si>
    <t>Emma Garcia</t>
  </si>
  <si>
    <t>Designer</t>
  </si>
  <si>
    <t>Marketing</t>
  </si>
  <si>
    <t>France</t>
  </si>
  <si>
    <t>Paris</t>
  </si>
  <si>
    <t>EMP008</t>
  </si>
  <si>
    <t>Daniel Scott</t>
  </si>
  <si>
    <t>Software Engineer</t>
  </si>
  <si>
    <t>Chicago</t>
  </si>
  <si>
    <t>EMP009</t>
  </si>
  <si>
    <t>Olivia Miller</t>
  </si>
  <si>
    <t>Product Manager</t>
  </si>
  <si>
    <t>Germany</t>
  </si>
  <si>
    <t>EMP010</t>
  </si>
  <si>
    <t>William Davis</t>
  </si>
  <si>
    <t>HR Manager</t>
  </si>
  <si>
    <t>HR</t>
  </si>
  <si>
    <t>Montreal</t>
  </si>
  <si>
    <t>EMP011</t>
  </si>
  <si>
    <t>Ethan Wilson</t>
  </si>
  <si>
    <t>Support Engineer</t>
  </si>
  <si>
    <t>Boston</t>
  </si>
  <si>
    <t>EMP012</t>
  </si>
  <si>
    <t>Ava Taylor</t>
  </si>
  <si>
    <t>Marketing Specialist</t>
  </si>
  <si>
    <t>Lyon</t>
  </si>
  <si>
    <t>EMP013</t>
  </si>
  <si>
    <t>Michael Clark</t>
  </si>
  <si>
    <t>DevOps Engineer</t>
  </si>
  <si>
    <t>Mumbai</t>
  </si>
  <si>
    <t>EMP014</t>
  </si>
  <si>
    <t>Isabella White</t>
  </si>
  <si>
    <t>Vancouver</t>
  </si>
  <si>
    <t>EMP015</t>
  </si>
  <si>
    <t>Alexander Hall</t>
  </si>
  <si>
    <t>London</t>
  </si>
  <si>
    <t>EMP016</t>
  </si>
  <si>
    <t>Mia Young</t>
  </si>
  <si>
    <t>Recruiter</t>
  </si>
  <si>
    <t>Miami</t>
  </si>
  <si>
    <t>EMP017</t>
  </si>
  <si>
    <t>Jacob Allen</t>
  </si>
  <si>
    <t>UI/UX Designer</t>
  </si>
  <si>
    <t>EMP018</t>
  </si>
  <si>
    <t>Charlotte King</t>
  </si>
  <si>
    <t>Bangalore</t>
  </si>
  <si>
    <t>EMP019</t>
  </si>
  <si>
    <t>Henry Wright</t>
  </si>
  <si>
    <t>Accountant</t>
  </si>
  <si>
    <t>EMP020</t>
  </si>
  <si>
    <t>Amelia Adams</t>
  </si>
  <si>
    <t>Manchester</t>
  </si>
  <si>
    <t>EMP021</t>
  </si>
  <si>
    <t>Lucas Nelson</t>
  </si>
  <si>
    <t>EMP022</t>
  </si>
  <si>
    <t>Harper Baker</t>
  </si>
  <si>
    <t>Marketing Analyst</t>
  </si>
  <si>
    <t>Hamburg</t>
  </si>
  <si>
    <t>EMP023</t>
  </si>
  <si>
    <t>Daniel Perez</t>
  </si>
  <si>
    <t>Product Owner</t>
  </si>
  <si>
    <t>San Francisco</t>
  </si>
  <si>
    <t>EMP024</t>
  </si>
  <si>
    <t>Evelyn Rivera</t>
  </si>
  <si>
    <t>Customer Support</t>
  </si>
  <si>
    <t>Bristol</t>
  </si>
  <si>
    <t>EMP025</t>
  </si>
  <si>
    <t>Matthew Carter</t>
  </si>
  <si>
    <t>Hyderabad</t>
  </si>
  <si>
    <t>EMP026</t>
  </si>
  <si>
    <t>Sofia Mitchell</t>
  </si>
  <si>
    <t>Data Engineer</t>
  </si>
  <si>
    <t>EMP027</t>
  </si>
  <si>
    <t>Benjamin Roberts</t>
  </si>
  <si>
    <t>Sales Executive</t>
  </si>
  <si>
    <t>Ottawa</t>
  </si>
  <si>
    <t>EMP028</t>
  </si>
  <si>
    <t>Abigail Turner</t>
  </si>
  <si>
    <t>HR Generalist</t>
  </si>
  <si>
    <t>Atlanta</t>
  </si>
  <si>
    <t>EMP029</t>
  </si>
  <si>
    <t>Joseph Phillips</t>
  </si>
  <si>
    <t>Chennai</t>
  </si>
  <si>
    <t>EMP030</t>
  </si>
  <si>
    <t>Emily Campbell</t>
  </si>
  <si>
    <t>Marketing Manager</t>
  </si>
  <si>
    <t>Liverpool</t>
  </si>
  <si>
    <t>YearsofService</t>
  </si>
  <si>
    <t>Grand Total</t>
  </si>
  <si>
    <t>Q1</t>
  </si>
  <si>
    <t>Q2</t>
  </si>
  <si>
    <t>Q3</t>
  </si>
  <si>
    <t>Sum of Salary</t>
  </si>
  <si>
    <t>Class</t>
  </si>
  <si>
    <t>Q4</t>
  </si>
  <si>
    <t>Above10yearsofservice</t>
  </si>
  <si>
    <t>Q5</t>
  </si>
  <si>
    <t>Q6</t>
  </si>
  <si>
    <t>Average of Salary</t>
  </si>
  <si>
    <t>Full Name</t>
  </si>
  <si>
    <t>Count of EmpID</t>
  </si>
  <si>
    <t>Average of YearsExperience</t>
  </si>
  <si>
    <t>Department by Country</t>
  </si>
  <si>
    <t>2018</t>
  </si>
  <si>
    <t>Year</t>
  </si>
  <si>
    <t>Less Than 3 Years</t>
  </si>
  <si>
    <t>Less than 3 Years</t>
  </si>
  <si>
    <t>Years Of Experience</t>
  </si>
  <si>
    <t>Count of Above10yearsofservice</t>
  </si>
  <si>
    <t>2017</t>
  </si>
  <si>
    <t>2013</t>
  </si>
  <si>
    <t>2015</t>
  </si>
  <si>
    <t>2021</t>
  </si>
  <si>
    <t>2012</t>
  </si>
  <si>
    <t>2014</t>
  </si>
  <si>
    <t>2016</t>
  </si>
  <si>
    <t>2019</t>
  </si>
  <si>
    <t>2020</t>
  </si>
  <si>
    <t>2022</t>
  </si>
  <si>
    <t>Above 10 years</t>
  </si>
  <si>
    <t>Below 10 years</t>
  </si>
  <si>
    <t>Column Labels</t>
  </si>
  <si>
    <t>Employee Name</t>
  </si>
  <si>
    <t>High Class</t>
  </si>
  <si>
    <t>Q7</t>
  </si>
  <si>
    <t>Years of Experience</t>
  </si>
  <si>
    <t>(Multiple Items)</t>
  </si>
  <si>
    <t>11 to 15 years</t>
  </si>
  <si>
    <t>6 to 10 years</t>
  </si>
  <si>
    <t>1 to 5 years</t>
  </si>
  <si>
    <t>Q8</t>
  </si>
  <si>
    <t>Q9</t>
  </si>
  <si>
    <t>Q10</t>
  </si>
  <si>
    <t>Q11</t>
  </si>
  <si>
    <t>Count of JobTitle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</si>
</sst>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0.0"/>
  </numFmts>
  <fonts count="4" x14ac:knownFonts="1">
    <font>
      <sz val="11"/>
      <color theme="1"/>
      <name val="Calibri"/>
      <family val="2"/>
      <scheme val="minor"/>
    </font>
    <font>
      <sz val="8"/>
      <name val="Calibri"/>
      <family val="2"/>
      <scheme val="minor"/>
    </font>
    <font>
      <sz val="12"/>
      <color theme="1"/>
      <name val="Segoe UI Black"/>
      <family val="2"/>
    </font>
    <font>
      <b/>
      <sz val="12"/>
      <color theme="0"/>
      <name val="Calibri"/>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20">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2" fillId="0" borderId="0" xfId="0" applyFont="1"/>
    <xf numFmtId="0" fontId="3" fillId="2" borderId="0" xfId="0" applyFont="1" applyFill="1"/>
    <xf numFmtId="0" fontId="0" fillId="3" borderId="0" xfId="0" applyFill="1" applyAlignment="1">
      <alignment horizontal="left"/>
    </xf>
    <xf numFmtId="164" fontId="0" fillId="3" borderId="0" xfId="0" applyNumberFormat="1" applyFill="1"/>
    <xf numFmtId="0" fontId="0" fillId="0" borderId="0" xfId="0" applyNumberFormat="1"/>
    <xf numFmtId="0" fontId="0" fillId="4" borderId="0" xfId="0" applyFill="1" applyAlignment="1">
      <alignment horizontal="left"/>
    </xf>
    <xf numFmtId="0" fontId="0" fillId="4" borderId="0" xfId="0" applyNumberFormat="1" applyFill="1"/>
    <xf numFmtId="164" fontId="0" fillId="4" borderId="0" xfId="0" applyNumberFormat="1" applyFill="1"/>
    <xf numFmtId="0" fontId="0" fillId="0" borderId="0" xfId="0" applyFill="1" applyAlignment="1">
      <alignment horizontal="left"/>
    </xf>
    <xf numFmtId="164" fontId="0" fillId="0" borderId="0" xfId="0" applyNumberFormat="1" applyFill="1"/>
    <xf numFmtId="0" fontId="0" fillId="0" borderId="0" xfId="0" applyFill="1"/>
    <xf numFmtId="0" fontId="0" fillId="4" borderId="0" xfId="0" applyFill="1" applyAlignment="1">
      <alignment horizontal="left" indent="1"/>
    </xf>
  </cellXfs>
  <cellStyles count="1">
    <cellStyle name="Normal" xfId="0" builtinId="0"/>
  </cellStyles>
  <dxfs count="46">
    <dxf>
      <numFmt numFmtId="164" formatCode="_-[$$-409]* #,##0.00_ ;_-[$$-409]* \-#,##0.00\ ;_-[$$-409]* &quot;-&quot;??_ ;_-@_ "/>
    </dxf>
    <dxf>
      <fill>
        <patternFill patternType="solid">
          <bgColor rgb="FFFFFF00"/>
        </patternFill>
      </fill>
    </dxf>
    <dxf>
      <numFmt numFmtId="1" formatCode="0"/>
    </dxf>
    <dxf>
      <numFmt numFmtId="1" formatCode="0"/>
    </dxf>
    <dxf>
      <numFmt numFmtId="164" formatCode="_-[$$-409]* #,##0.00_ ;_-[$$-409]* \-#,##0.00\ ;_-[$$-409]* &quot;-&quot;??_ ;_-@_ "/>
    </dxf>
    <dxf>
      <numFmt numFmtId="164" formatCode="_-[$$-409]* #,##0.00_ ;_-[$$-409]* \-#,##0.00\ ;_-[$$-409]* &quot;-&quot;??_ ;_-@_ "/>
    </dxf>
    <dxf>
      <fill>
        <patternFill patternType="solid">
          <bgColor rgb="FFFFFF00"/>
        </patternFill>
      </fill>
    </dxf>
    <dxf>
      <numFmt numFmtId="1" formatCode="0"/>
    </dxf>
    <dxf>
      <numFmt numFmtId="1" formatCode="0"/>
    </dxf>
    <dxf>
      <numFmt numFmtId="164" formatCode="_-[$$-409]* #,##0.00_ ;_-[$$-409]* \-#,##0.00\ ;_-[$$-409]* &quot;-&quot;??_ ;_-@_ "/>
    </dxf>
    <dxf>
      <numFmt numFmtId="164" formatCode="_-[$$-409]* #,##0.00_ ;_-[$$-409]* \-#,##0.00\ ;_-[$$-409]* &quot;-&quot;??_ ;_-@_ "/>
    </dxf>
    <dxf>
      <fill>
        <patternFill patternType="solid">
          <bgColor rgb="FFFFFF00"/>
        </patternFill>
      </fill>
    </dxf>
    <dxf>
      <numFmt numFmtId="1" formatCode="0"/>
    </dxf>
    <dxf>
      <numFmt numFmtId="1" formatCode="0"/>
    </dxf>
    <dxf>
      <numFmt numFmtId="164" formatCode="_-[$$-409]* #,##0.00_ ;_-[$$-409]* \-#,##0.00\ ;_-[$$-409]* &quot;-&quot;??_ ;_-@_ "/>
    </dxf>
    <dxf>
      <numFmt numFmtId="164" formatCode="_-[$$-409]* #,##0.00_ ;_-[$$-409]* \-#,##0.00\ ;_-[$$-409]* &quot;-&quot;??_ ;_-@_ "/>
    </dxf>
    <dxf>
      <fill>
        <patternFill patternType="solid">
          <bgColor rgb="FFFFFF00"/>
        </patternFill>
      </fill>
    </dxf>
    <dxf>
      <numFmt numFmtId="1" formatCode="0"/>
    </dxf>
    <dxf>
      <numFmt numFmtId="1" formatCode="0"/>
    </dxf>
    <dxf>
      <numFmt numFmtId="164" formatCode="_-[$$-409]* #,##0.00_ ;_-[$$-409]* \-#,##0.00\ ;_-[$$-409]* &quot;-&quot;??_ ;_-@_ "/>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numFmt numFmtId="1" formatCode="0"/>
    </dxf>
    <dxf>
      <numFmt numFmtId="1" formatCode="0"/>
    </dxf>
    <dxf>
      <numFmt numFmtId="1"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FFFF00"/>
        </patternFill>
      </fill>
    </dxf>
    <dxf>
      <numFmt numFmtId="1" formatCode="0"/>
    </dxf>
    <dxf>
      <numFmt numFmtId="1" formatCode="0"/>
    </dxf>
    <dxf>
      <numFmt numFmtId="164" formatCode="_-[$$-409]* #,##0.00_ ;_-[$$-409]* \-#,##0.00\ ;_-[$$-409]* &quot;-&quot;??_ ;_-@_ "/>
    </dxf>
    <dxf>
      <numFmt numFmtId="164" formatCode="_-[$$-409]* #,##0.00_ ;_-[$$-409]* \-#,##0.00\ ;_-[$$-409]* &quot;-&quot;??_ ;_-@_ "/>
    </dxf>
    <dxf>
      <numFmt numFmtId="0" formatCode="General"/>
    </dxf>
    <dxf>
      <numFmt numFmtId="165" formatCode="0.0"/>
    </dxf>
    <dxf>
      <numFmt numFmtId="165" formatCode="0.0"/>
    </dxf>
    <dxf>
      <numFmt numFmtId="165" formatCode="0.0"/>
    </dxf>
    <dxf>
      <numFmt numFmtId="164" formatCode="_-[$$-409]* #,##0.00_ ;_-[$$-409]* \-#,##0.00\ ;_-[$$-409]* &quot;-&quot;??_ ;_-@_ "/>
    </dxf>
    <dxf>
      <numFmt numFmtId="19" formatCode="dd/mm/yyyy"/>
    </dxf>
  </dxfs>
  <tableStyles count="1" defaultTableStyle="TableStyleMedium2" defaultPivotStyle="PivotStyleLight16">
    <tableStyle name="Invisible" pivot="0" table="0" count="0" xr9:uid="{9805CFBA-FC88-4835-A0BC-DB08B18729C6}"/>
  </tableStyles>
  <colors>
    <mruColors>
      <color rgb="FF1E3A8A"/>
      <color rgb="FF2563EB"/>
      <color rgb="FF5F5F5F"/>
      <color rgb="FFE2E8F0"/>
      <color rgb="FFF8FAF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 Solutions.xlsx]KPI!PivotTable21</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Employee Distribution by Department And Country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F8FAF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6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82474141385194E-2"/>
          <c:y val="0.21868205554757283"/>
          <c:w val="0.9296350517172296"/>
          <c:h val="0.57524577213905581"/>
        </c:manualLayout>
      </c:layout>
      <c:barChart>
        <c:barDir val="col"/>
        <c:grouping val="clustered"/>
        <c:varyColors val="0"/>
        <c:ser>
          <c:idx val="0"/>
          <c:order val="0"/>
          <c:tx>
            <c:strRef>
              <c:f>KPI!$F$3</c:f>
              <c:strCache>
                <c:ptCount val="1"/>
                <c:pt idx="0">
                  <c:v>Total</c:v>
                </c:pt>
              </c:strCache>
            </c:strRef>
          </c:tx>
          <c:spPr>
            <a:solidFill>
              <a:schemeClr val="accent1"/>
            </a:solidFill>
            <a:ln>
              <a:noFill/>
            </a:ln>
            <a:effectLst/>
          </c:spPr>
          <c:invertIfNegative val="0"/>
          <c:cat>
            <c:multiLvlStrRef>
              <c:f>KPI!$E$4:$E$25</c:f>
              <c:multiLvlStrCache>
                <c:ptCount val="15"/>
                <c:lvl>
                  <c:pt idx="0">
                    <c:v>Finance</c:v>
                  </c:pt>
                  <c:pt idx="1">
                    <c:v>HR</c:v>
                  </c:pt>
                  <c:pt idx="2">
                    <c:v>Sales</c:v>
                  </c:pt>
                  <c:pt idx="3">
                    <c:v>IT</c:v>
                  </c:pt>
                  <c:pt idx="4">
                    <c:v>Marketing</c:v>
                  </c:pt>
                  <c:pt idx="5">
                    <c:v>Marketing</c:v>
                  </c:pt>
                  <c:pt idx="6">
                    <c:v>Sales</c:v>
                  </c:pt>
                  <c:pt idx="7">
                    <c:v>Finance</c:v>
                  </c:pt>
                  <c:pt idx="8">
                    <c:v>IT</c:v>
                  </c:pt>
                  <c:pt idx="9">
                    <c:v>IT</c:v>
                  </c:pt>
                  <c:pt idx="10">
                    <c:v>Marketing</c:v>
                  </c:pt>
                  <c:pt idx="11">
                    <c:v>Sales</c:v>
                  </c:pt>
                  <c:pt idx="12">
                    <c:v>HR</c:v>
                  </c:pt>
                  <c:pt idx="13">
                    <c:v>IT</c:v>
                  </c:pt>
                  <c:pt idx="14">
                    <c:v>Operations</c:v>
                  </c:pt>
                </c:lvl>
                <c:lvl>
                  <c:pt idx="0">
                    <c:v>Canada</c:v>
                  </c:pt>
                  <c:pt idx="3">
                    <c:v>France</c:v>
                  </c:pt>
                  <c:pt idx="5">
                    <c:v>Germany</c:v>
                  </c:pt>
                  <c:pt idx="7">
                    <c:v>India</c:v>
                  </c:pt>
                  <c:pt idx="9">
                    <c:v>UK</c:v>
                  </c:pt>
                  <c:pt idx="12">
                    <c:v>USA</c:v>
                  </c:pt>
                </c:lvl>
              </c:multiLvlStrCache>
            </c:multiLvlStrRef>
          </c:cat>
          <c:val>
            <c:numRef>
              <c:f>KPI!$F$4:$F$25</c:f>
              <c:numCache>
                <c:formatCode>General</c:formatCode>
                <c:ptCount val="15"/>
                <c:pt idx="0">
                  <c:v>4</c:v>
                </c:pt>
                <c:pt idx="1">
                  <c:v>1</c:v>
                </c:pt>
                <c:pt idx="2">
                  <c:v>2</c:v>
                </c:pt>
                <c:pt idx="3">
                  <c:v>1</c:v>
                </c:pt>
                <c:pt idx="4">
                  <c:v>3</c:v>
                </c:pt>
                <c:pt idx="5">
                  <c:v>1</c:v>
                </c:pt>
                <c:pt idx="6">
                  <c:v>1</c:v>
                </c:pt>
                <c:pt idx="7">
                  <c:v>1</c:v>
                </c:pt>
                <c:pt idx="8">
                  <c:v>4</c:v>
                </c:pt>
                <c:pt idx="9">
                  <c:v>2</c:v>
                </c:pt>
                <c:pt idx="10">
                  <c:v>1</c:v>
                </c:pt>
                <c:pt idx="11">
                  <c:v>2</c:v>
                </c:pt>
                <c:pt idx="12">
                  <c:v>3</c:v>
                </c:pt>
                <c:pt idx="13">
                  <c:v>2</c:v>
                </c:pt>
                <c:pt idx="14">
                  <c:v>2</c:v>
                </c:pt>
              </c:numCache>
            </c:numRef>
          </c:val>
          <c:extLst>
            <c:ext xmlns:c16="http://schemas.microsoft.com/office/drawing/2014/chart" uri="{C3380CC4-5D6E-409C-BE32-E72D297353CC}">
              <c16:uniqueId val="{00000002-5F61-4CFF-A44C-54DDCC237CC0}"/>
            </c:ext>
          </c:extLst>
        </c:ser>
        <c:dLbls>
          <c:showLegendKey val="0"/>
          <c:showVal val="0"/>
          <c:showCatName val="0"/>
          <c:showSerName val="0"/>
          <c:showPercent val="0"/>
          <c:showBubbleSize val="0"/>
        </c:dLbls>
        <c:gapWidth val="219"/>
        <c:overlap val="-27"/>
        <c:axId val="2063270320"/>
        <c:axId val="2063270800"/>
      </c:barChart>
      <c:catAx>
        <c:axId val="2063270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2063270800"/>
        <c:crosses val="autoZero"/>
        <c:auto val="1"/>
        <c:lblAlgn val="ctr"/>
        <c:lblOffset val="100"/>
        <c:noMultiLvlLbl val="0"/>
      </c:catAx>
      <c:valAx>
        <c:axId val="2063270800"/>
        <c:scaling>
          <c:orientation val="minMax"/>
        </c:scaling>
        <c:delete val="1"/>
        <c:axPos val="l"/>
        <c:numFmt formatCode="General" sourceLinked="1"/>
        <c:majorTickMark val="out"/>
        <c:minorTickMark val="none"/>
        <c:tickLblPos val="nextTo"/>
        <c:crossAx val="2063270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a:outerShdw blurRad="63500" sx="102000" sy="102000" algn="ctr"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sz="1060" baseline="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 Solutions.xlsx]KPI!PivotTable22</c:name>
    <c:fmtId val="3"/>
  </c:pivotSource>
  <c:chart>
    <c:title>
      <c:tx>
        <c:rich>
          <a:bodyPr rot="0" spcFirstLastPara="1" vertOverflow="ellipsis" vert="horz" wrap="square" anchor="ctr" anchorCtr="1"/>
          <a:lstStyle/>
          <a:p>
            <a:pPr>
              <a:defRPr sz="1600" b="1" i="0" u="none" strike="noStrike" kern="1200" spc="0" baseline="0">
                <a:solidFill>
                  <a:srgbClr val="5F5F5F"/>
                </a:solidFill>
                <a:latin typeface="+mn-lt"/>
                <a:ea typeface="+mn-ea"/>
                <a:cs typeface="+mn-cs"/>
              </a:defRPr>
            </a:pPr>
            <a:r>
              <a:rPr lang="en-US" sz="1600" b="1">
                <a:solidFill>
                  <a:srgbClr val="5F5F5F"/>
                </a:solidFill>
              </a:rPr>
              <a:t>Average</a:t>
            </a:r>
            <a:r>
              <a:rPr lang="en-US" sz="1600" b="1" baseline="0">
                <a:solidFill>
                  <a:srgbClr val="5F5F5F"/>
                </a:solidFill>
              </a:rPr>
              <a:t> Years of Experience Per Department</a:t>
            </a:r>
            <a:endParaRPr lang="en-US" sz="1600" b="1">
              <a:solidFill>
                <a:srgbClr val="5F5F5F"/>
              </a:solidFill>
            </a:endParaRPr>
          </a:p>
        </c:rich>
      </c:tx>
      <c:layout>
        <c:manualLayout>
          <c:xMode val="edge"/>
          <c:yMode val="edge"/>
          <c:x val="0.19472529988678716"/>
          <c:y val="2.907580477673935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5F5F5F"/>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59309721528943"/>
          <c:y val="0.20242840778923255"/>
          <c:w val="0.72903502253785302"/>
          <c:h val="0.73001823277171896"/>
        </c:manualLayout>
      </c:layout>
      <c:barChart>
        <c:barDir val="bar"/>
        <c:grouping val="clustered"/>
        <c:varyColors val="0"/>
        <c:ser>
          <c:idx val="0"/>
          <c:order val="0"/>
          <c:tx>
            <c:strRef>
              <c:f>KPI!$B$31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KPI!$A$32:$A$38</c:f>
              <c:strCache>
                <c:ptCount val="6"/>
                <c:pt idx="0">
                  <c:v>Operations</c:v>
                </c:pt>
                <c:pt idx="1">
                  <c:v>Finance</c:v>
                </c:pt>
                <c:pt idx="2">
                  <c:v>HR</c:v>
                </c:pt>
                <c:pt idx="3">
                  <c:v>IT</c:v>
                </c:pt>
                <c:pt idx="4">
                  <c:v>Marketing</c:v>
                </c:pt>
                <c:pt idx="5">
                  <c:v>Sales</c:v>
                </c:pt>
              </c:strCache>
            </c:strRef>
          </c:cat>
          <c:val>
            <c:numRef>
              <c:f>KPI!$B$32:$B$38</c:f>
              <c:numCache>
                <c:formatCode>0</c:formatCode>
                <c:ptCount val="6"/>
                <c:pt idx="0">
                  <c:v>13</c:v>
                </c:pt>
                <c:pt idx="1">
                  <c:v>10.559999999999999</c:v>
                </c:pt>
                <c:pt idx="2">
                  <c:v>8.75</c:v>
                </c:pt>
                <c:pt idx="3">
                  <c:v>7.5333333333333332</c:v>
                </c:pt>
                <c:pt idx="4">
                  <c:v>7.1199999999999992</c:v>
                </c:pt>
                <c:pt idx="5">
                  <c:v>5.34</c:v>
                </c:pt>
              </c:numCache>
            </c:numRef>
          </c:val>
          <c:extLst>
            <c:ext xmlns:c16="http://schemas.microsoft.com/office/drawing/2014/chart" uri="{C3380CC4-5D6E-409C-BE32-E72D297353CC}">
              <c16:uniqueId val="{00000000-18E8-4761-9A01-B5E4D344A264}"/>
            </c:ext>
          </c:extLst>
        </c:ser>
        <c:dLbls>
          <c:dLblPos val="outEnd"/>
          <c:showLegendKey val="0"/>
          <c:showVal val="1"/>
          <c:showCatName val="0"/>
          <c:showSerName val="0"/>
          <c:showPercent val="0"/>
          <c:showBubbleSize val="0"/>
        </c:dLbls>
        <c:gapWidth val="182"/>
        <c:axId val="264288208"/>
        <c:axId val="267747488"/>
      </c:barChart>
      <c:catAx>
        <c:axId val="26428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267747488"/>
        <c:crosses val="autoZero"/>
        <c:auto val="1"/>
        <c:lblAlgn val="ctr"/>
        <c:lblOffset val="100"/>
        <c:noMultiLvlLbl val="0"/>
      </c:catAx>
      <c:valAx>
        <c:axId val="267747488"/>
        <c:scaling>
          <c:orientation val="minMax"/>
        </c:scaling>
        <c:delete val="1"/>
        <c:axPos val="b"/>
        <c:numFmt formatCode="0" sourceLinked="1"/>
        <c:majorTickMark val="none"/>
        <c:minorTickMark val="none"/>
        <c:tickLblPos val="nextTo"/>
        <c:crossAx val="264288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a:outerShdw blurRad="63500" sx="102000" sy="102000" algn="ctr"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 Solutions.xlsx]KPI!PivotTable23</c:name>
    <c:fmtId val="2"/>
  </c:pivotSource>
  <c:chart>
    <c:title>
      <c:tx>
        <c:rich>
          <a:bodyPr rot="0" spcFirstLastPara="1" vertOverflow="ellipsis" vert="horz" wrap="square" anchor="ctr" anchorCtr="1"/>
          <a:lstStyle/>
          <a:p>
            <a:pPr>
              <a:defRPr sz="1600" b="1" i="0" u="none" strike="noStrike" kern="1200" spc="0" baseline="0">
                <a:solidFill>
                  <a:srgbClr val="5F5F5F"/>
                </a:solidFill>
                <a:latin typeface="+mn-lt"/>
                <a:ea typeface="+mn-ea"/>
                <a:cs typeface="+mn-cs"/>
              </a:defRPr>
            </a:pPr>
            <a:r>
              <a:rPr lang="en-US" sz="1600" b="1">
                <a:solidFill>
                  <a:srgbClr val="5F5F5F"/>
                </a:solidFill>
              </a:rPr>
              <a:t>Number</a:t>
            </a:r>
            <a:r>
              <a:rPr lang="en-US" sz="1600" b="1" baseline="0">
                <a:solidFill>
                  <a:srgbClr val="5F5F5F"/>
                </a:solidFill>
              </a:rPr>
              <a:t> of Employee Hired by Year</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5F5F5F"/>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KPI!$E$32:$E$43</c:f>
              <c:strCache>
                <c:ptCount val="11"/>
                <c:pt idx="0">
                  <c:v>2012</c:v>
                </c:pt>
                <c:pt idx="1">
                  <c:v>2013</c:v>
                </c:pt>
                <c:pt idx="2">
                  <c:v>2014</c:v>
                </c:pt>
                <c:pt idx="3">
                  <c:v>2015</c:v>
                </c:pt>
                <c:pt idx="4">
                  <c:v>2016</c:v>
                </c:pt>
                <c:pt idx="5">
                  <c:v>2017</c:v>
                </c:pt>
                <c:pt idx="6">
                  <c:v>2018</c:v>
                </c:pt>
                <c:pt idx="7">
                  <c:v>2019</c:v>
                </c:pt>
                <c:pt idx="8">
                  <c:v>2020</c:v>
                </c:pt>
                <c:pt idx="9">
                  <c:v>2021</c:v>
                </c:pt>
                <c:pt idx="10">
                  <c:v>2022</c:v>
                </c:pt>
              </c:strCache>
            </c:strRef>
          </c:cat>
          <c:val>
            <c:numRef>
              <c:f>KPI!$F$32:$F$43</c:f>
              <c:numCache>
                <c:formatCode>General</c:formatCode>
                <c:ptCount val="11"/>
                <c:pt idx="0">
                  <c:v>2</c:v>
                </c:pt>
                <c:pt idx="1">
                  <c:v>3</c:v>
                </c:pt>
                <c:pt idx="2">
                  <c:v>3</c:v>
                </c:pt>
                <c:pt idx="3">
                  <c:v>3</c:v>
                </c:pt>
                <c:pt idx="4">
                  <c:v>4</c:v>
                </c:pt>
                <c:pt idx="5">
                  <c:v>3</c:v>
                </c:pt>
                <c:pt idx="6">
                  <c:v>4</c:v>
                </c:pt>
                <c:pt idx="7">
                  <c:v>4</c:v>
                </c:pt>
                <c:pt idx="8">
                  <c:v>2</c:v>
                </c:pt>
                <c:pt idx="9">
                  <c:v>1</c:v>
                </c:pt>
                <c:pt idx="10">
                  <c:v>1</c:v>
                </c:pt>
              </c:numCache>
            </c:numRef>
          </c:val>
          <c:smooth val="0"/>
          <c:extLst>
            <c:ext xmlns:c16="http://schemas.microsoft.com/office/drawing/2014/chart" uri="{C3380CC4-5D6E-409C-BE32-E72D297353CC}">
              <c16:uniqueId val="{00000000-13EF-4806-BC27-213B1AE0D67C}"/>
            </c:ext>
          </c:extLst>
        </c:ser>
        <c:dLbls>
          <c:dLblPos val="t"/>
          <c:showLegendKey val="0"/>
          <c:showVal val="1"/>
          <c:showCatName val="0"/>
          <c:showSerName val="0"/>
          <c:showPercent val="0"/>
          <c:showBubbleSize val="0"/>
        </c:dLbls>
        <c:smooth val="0"/>
        <c:axId val="944889808"/>
        <c:axId val="944891248"/>
      </c:lineChart>
      <c:catAx>
        <c:axId val="94488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944891248"/>
        <c:crosses val="autoZero"/>
        <c:auto val="1"/>
        <c:lblAlgn val="ctr"/>
        <c:lblOffset val="100"/>
        <c:noMultiLvlLbl val="0"/>
      </c:catAx>
      <c:valAx>
        <c:axId val="944891248"/>
        <c:scaling>
          <c:orientation val="minMax"/>
        </c:scaling>
        <c:delete val="1"/>
        <c:axPos val="l"/>
        <c:numFmt formatCode="General" sourceLinked="1"/>
        <c:majorTickMark val="none"/>
        <c:minorTickMark val="none"/>
        <c:tickLblPos val="nextTo"/>
        <c:crossAx val="944889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a:outerShdw blurRad="63500" sx="102000" sy="102000" algn="ctr"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 Solutions.xlsx]KPI!PivotTable1</c:name>
    <c:fmtId val="5"/>
  </c:pivotSource>
  <c:chart>
    <c:title>
      <c:tx>
        <c:rich>
          <a:bodyPr rot="0" spcFirstLastPara="1" vertOverflow="ellipsis" vert="horz" wrap="square" anchor="ctr" anchorCtr="1"/>
          <a:lstStyle/>
          <a:p>
            <a:pPr>
              <a:defRPr sz="1600" b="1" i="0" u="none" strike="noStrike" kern="1200" spc="0" baseline="0">
                <a:solidFill>
                  <a:srgbClr val="5F5F5F"/>
                </a:solidFill>
                <a:latin typeface="+mn-lt"/>
                <a:ea typeface="+mn-ea"/>
                <a:cs typeface="+mn-cs"/>
              </a:defRPr>
            </a:pPr>
            <a:r>
              <a:rPr lang="en-US" sz="1600" b="1">
                <a:solidFill>
                  <a:srgbClr val="5F5F5F"/>
                </a:solidFill>
              </a:rPr>
              <a:t>Average</a:t>
            </a:r>
            <a:r>
              <a:rPr lang="en-US" sz="1600" b="1" baseline="0">
                <a:solidFill>
                  <a:srgbClr val="5F5F5F"/>
                </a:solidFill>
              </a:rPr>
              <a:t> And Total Salary by Department</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5F5F5F"/>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84450009567186E-2"/>
          <c:y val="0.16247767688098372"/>
          <c:w val="0.68532848444143213"/>
          <c:h val="0.59498952374972736"/>
        </c:manualLayout>
      </c:layout>
      <c:barChart>
        <c:barDir val="col"/>
        <c:grouping val="clustered"/>
        <c:varyColors val="0"/>
        <c:ser>
          <c:idx val="0"/>
          <c:order val="0"/>
          <c:tx>
            <c:strRef>
              <c:f>KPI!$B$49</c:f>
              <c:strCache>
                <c:ptCount val="1"/>
                <c:pt idx="0">
                  <c:v>Average of Salary</c:v>
                </c:pt>
              </c:strCache>
            </c:strRef>
          </c:tx>
          <c:spPr>
            <a:solidFill>
              <a:schemeClr val="accent1"/>
            </a:solidFill>
            <a:ln>
              <a:noFill/>
            </a:ln>
            <a:effectLst/>
          </c:spPr>
          <c:invertIfNegative val="0"/>
          <c:cat>
            <c:strRef>
              <c:f>KPI!$A$50:$A$56</c:f>
              <c:strCache>
                <c:ptCount val="6"/>
                <c:pt idx="0">
                  <c:v>IT</c:v>
                </c:pt>
                <c:pt idx="1">
                  <c:v>Finance</c:v>
                </c:pt>
                <c:pt idx="2">
                  <c:v>Sales</c:v>
                </c:pt>
                <c:pt idx="3">
                  <c:v>Marketing</c:v>
                </c:pt>
                <c:pt idx="4">
                  <c:v>HR</c:v>
                </c:pt>
                <c:pt idx="5">
                  <c:v>Operations</c:v>
                </c:pt>
              </c:strCache>
            </c:strRef>
          </c:cat>
          <c:val>
            <c:numRef>
              <c:f>KPI!$B$50:$B$56</c:f>
              <c:numCache>
                <c:formatCode>_-[$$-409]* #,##0.00_ ;_-[$$-409]* \-#,##0.00\ ;_-[$$-409]* "-"??_ ;_-@_ </c:formatCode>
                <c:ptCount val="6"/>
                <c:pt idx="0">
                  <c:v>113293.46888888888</c:v>
                </c:pt>
                <c:pt idx="1">
                  <c:v>91752.645999999993</c:v>
                </c:pt>
                <c:pt idx="2">
                  <c:v>90305.05</c:v>
                </c:pt>
                <c:pt idx="3">
                  <c:v>78200.459999999992</c:v>
                </c:pt>
                <c:pt idx="4">
                  <c:v>80025.5625</c:v>
                </c:pt>
                <c:pt idx="5">
                  <c:v>130150.47500000001</c:v>
                </c:pt>
              </c:numCache>
            </c:numRef>
          </c:val>
          <c:extLst>
            <c:ext xmlns:c16="http://schemas.microsoft.com/office/drawing/2014/chart" uri="{C3380CC4-5D6E-409C-BE32-E72D297353CC}">
              <c16:uniqueId val="{00000000-DCCB-401D-9F67-DCD9984105C0}"/>
            </c:ext>
          </c:extLst>
        </c:ser>
        <c:ser>
          <c:idx val="1"/>
          <c:order val="1"/>
          <c:tx>
            <c:strRef>
              <c:f>KPI!$C$49</c:f>
              <c:strCache>
                <c:ptCount val="1"/>
                <c:pt idx="0">
                  <c:v>Sum of Salary</c:v>
                </c:pt>
              </c:strCache>
            </c:strRef>
          </c:tx>
          <c:spPr>
            <a:solidFill>
              <a:schemeClr val="accent2"/>
            </a:solidFill>
            <a:ln>
              <a:noFill/>
            </a:ln>
            <a:effectLst/>
          </c:spPr>
          <c:invertIfNegative val="0"/>
          <c:cat>
            <c:strRef>
              <c:f>KPI!$A$50:$A$56</c:f>
              <c:strCache>
                <c:ptCount val="6"/>
                <c:pt idx="0">
                  <c:v>IT</c:v>
                </c:pt>
                <c:pt idx="1">
                  <c:v>Finance</c:v>
                </c:pt>
                <c:pt idx="2">
                  <c:v>Sales</c:v>
                </c:pt>
                <c:pt idx="3">
                  <c:v>Marketing</c:v>
                </c:pt>
                <c:pt idx="4">
                  <c:v>HR</c:v>
                </c:pt>
                <c:pt idx="5">
                  <c:v>Operations</c:v>
                </c:pt>
              </c:strCache>
            </c:strRef>
          </c:cat>
          <c:val>
            <c:numRef>
              <c:f>KPI!$C$50:$C$56</c:f>
              <c:numCache>
                <c:formatCode>_-[$$-409]* #,##0.00_ ;_-[$$-409]* \-#,##0.00\ ;_-[$$-409]* "-"??_ ;_-@_ </c:formatCode>
                <c:ptCount val="6"/>
                <c:pt idx="0">
                  <c:v>1019641.2199999999</c:v>
                </c:pt>
                <c:pt idx="1">
                  <c:v>458763.23</c:v>
                </c:pt>
                <c:pt idx="2">
                  <c:v>451525.25</c:v>
                </c:pt>
                <c:pt idx="3">
                  <c:v>391002.3</c:v>
                </c:pt>
                <c:pt idx="4">
                  <c:v>320102.25</c:v>
                </c:pt>
                <c:pt idx="5">
                  <c:v>260300.95</c:v>
                </c:pt>
              </c:numCache>
            </c:numRef>
          </c:val>
          <c:extLst>
            <c:ext xmlns:c16="http://schemas.microsoft.com/office/drawing/2014/chart" uri="{C3380CC4-5D6E-409C-BE32-E72D297353CC}">
              <c16:uniqueId val="{00000001-DCCB-401D-9F67-DCD9984105C0}"/>
            </c:ext>
          </c:extLst>
        </c:ser>
        <c:dLbls>
          <c:showLegendKey val="0"/>
          <c:showVal val="0"/>
          <c:showCatName val="0"/>
          <c:showSerName val="0"/>
          <c:showPercent val="0"/>
          <c:showBubbleSize val="0"/>
        </c:dLbls>
        <c:gapWidth val="219"/>
        <c:overlap val="-27"/>
        <c:axId val="455109407"/>
        <c:axId val="364981727"/>
      </c:barChart>
      <c:catAx>
        <c:axId val="455109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364981727"/>
        <c:crosses val="autoZero"/>
        <c:auto val="1"/>
        <c:lblAlgn val="ctr"/>
        <c:lblOffset val="100"/>
        <c:noMultiLvlLbl val="0"/>
      </c:catAx>
      <c:valAx>
        <c:axId val="364981727"/>
        <c:scaling>
          <c:orientation val="minMax"/>
        </c:scaling>
        <c:delete val="1"/>
        <c:axPos val="l"/>
        <c:numFmt formatCode="_-[$$-409]* #,##0.00_ ;_-[$$-409]* \-#,##0.00\ ;_-[$$-409]* &quot;-&quot;??_ ;_-@_ " sourceLinked="1"/>
        <c:majorTickMark val="out"/>
        <c:minorTickMark val="none"/>
        <c:tickLblPos val="nextTo"/>
        <c:crossAx val="455109407"/>
        <c:crosses val="autoZero"/>
        <c:crossBetween val="between"/>
      </c:valAx>
      <c:spPr>
        <a:noFill/>
        <a:ln>
          <a:noFill/>
        </a:ln>
        <a:effectLst/>
      </c:spPr>
    </c:plotArea>
    <c:legend>
      <c:legendPos val="r"/>
      <c:layout>
        <c:manualLayout>
          <c:xMode val="edge"/>
          <c:yMode val="edge"/>
          <c:x val="0.6930853008635951"/>
          <c:y val="0.3014943139561001"/>
          <c:w val="0.2809092400376681"/>
          <c:h val="0.218339360602437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a:outerShdw blurRad="63500" sx="102000" sy="102000" algn="ctr"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 Solutions.xlsx]KPI!PivotTable2</c:name>
    <c:fmtId val="11"/>
  </c:pivotSource>
  <c:chart>
    <c:title>
      <c:tx>
        <c:rich>
          <a:bodyPr rot="0" spcFirstLastPara="1" vertOverflow="ellipsis" vert="horz" wrap="square" anchor="ctr" anchorCtr="1"/>
          <a:lstStyle/>
          <a:p>
            <a:pPr>
              <a:defRPr sz="1600" b="1" i="0" u="none" strike="noStrike" kern="1200" spc="0" baseline="0">
                <a:solidFill>
                  <a:srgbClr val="5F5F5F"/>
                </a:solidFill>
                <a:latin typeface="+mn-lt"/>
                <a:ea typeface="+mn-ea"/>
                <a:cs typeface="+mn-cs"/>
              </a:defRPr>
            </a:pPr>
            <a:r>
              <a:rPr lang="en-US" sz="1600" b="1">
                <a:solidFill>
                  <a:srgbClr val="5F5F5F"/>
                </a:solidFill>
              </a:rPr>
              <a:t>Top</a:t>
            </a:r>
            <a:r>
              <a:rPr lang="en-US" sz="1600" b="1" baseline="0">
                <a:solidFill>
                  <a:srgbClr val="5F5F5F"/>
                </a:solidFill>
              </a:rPr>
              <a:t> 5 Earners</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5F5F5F"/>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86492575188409"/>
          <c:y val="0.19339757467982352"/>
          <c:w val="0.61890562228044421"/>
          <c:h val="0.73751168789932586"/>
        </c:manualLayout>
      </c:layout>
      <c:barChart>
        <c:barDir val="bar"/>
        <c:grouping val="clustered"/>
        <c:varyColors val="0"/>
        <c:ser>
          <c:idx val="0"/>
          <c:order val="0"/>
          <c:tx>
            <c:strRef>
              <c:f>KPI!$I$49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KPI!$H$50:$H$55</c:f>
              <c:strCache>
                <c:ptCount val="5"/>
                <c:pt idx="0">
                  <c:v>Daniel Perez</c:v>
                </c:pt>
                <c:pt idx="1">
                  <c:v>Daniel Scott</c:v>
                </c:pt>
                <c:pt idx="2">
                  <c:v>Sofia Mitchell</c:v>
                </c:pt>
                <c:pt idx="3">
                  <c:v>Charlotte King</c:v>
                </c:pt>
                <c:pt idx="4">
                  <c:v>James Johnson</c:v>
                </c:pt>
              </c:strCache>
            </c:strRef>
          </c:cat>
          <c:val>
            <c:numRef>
              <c:f>KPI!$I$50:$I$55</c:f>
              <c:numCache>
                <c:formatCode>_-[$$-409]* #,##0.00_ ;_-[$$-409]* \-#,##0.00\ ;_-[$$-409]* "-"??_ ;_-@_ </c:formatCode>
                <c:ptCount val="5"/>
                <c:pt idx="0">
                  <c:v>134800.95000000001</c:v>
                </c:pt>
                <c:pt idx="1">
                  <c:v>134200</c:v>
                </c:pt>
                <c:pt idx="2">
                  <c:v>128300.2</c:v>
                </c:pt>
                <c:pt idx="3">
                  <c:v>125700.85</c:v>
                </c:pt>
                <c:pt idx="4">
                  <c:v>125500</c:v>
                </c:pt>
              </c:numCache>
            </c:numRef>
          </c:val>
          <c:extLst>
            <c:ext xmlns:c16="http://schemas.microsoft.com/office/drawing/2014/chart" uri="{C3380CC4-5D6E-409C-BE32-E72D297353CC}">
              <c16:uniqueId val="{00000000-9D51-40D3-B711-40185803FE0E}"/>
            </c:ext>
          </c:extLst>
        </c:ser>
        <c:dLbls>
          <c:dLblPos val="outEnd"/>
          <c:showLegendKey val="0"/>
          <c:showVal val="1"/>
          <c:showCatName val="0"/>
          <c:showSerName val="0"/>
          <c:showPercent val="0"/>
          <c:showBubbleSize val="0"/>
        </c:dLbls>
        <c:gapWidth val="182"/>
        <c:axId val="614066640"/>
        <c:axId val="614066160"/>
      </c:barChart>
      <c:catAx>
        <c:axId val="61406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614066160"/>
        <c:crosses val="autoZero"/>
        <c:auto val="1"/>
        <c:lblAlgn val="ctr"/>
        <c:lblOffset val="100"/>
        <c:noMultiLvlLbl val="0"/>
      </c:catAx>
      <c:valAx>
        <c:axId val="614066160"/>
        <c:scaling>
          <c:orientation val="minMax"/>
        </c:scaling>
        <c:delete val="1"/>
        <c:axPos val="b"/>
        <c:numFmt formatCode="_-[$$-409]* #,##0.00_ ;_-[$$-409]* \-#,##0.00\ ;_-[$$-409]* &quot;-&quot;??_ ;_-@_ " sourceLinked="1"/>
        <c:majorTickMark val="none"/>
        <c:minorTickMark val="none"/>
        <c:tickLblPos val="nextTo"/>
        <c:crossAx val="614066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a:outerShdw blurRad="63500" sx="102000" sy="102000" algn="ctr"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 Solutions.xlsx]KPI!PivotTable8</c:name>
    <c:fmtId val="3"/>
  </c:pivotSource>
  <c:chart>
    <c:title>
      <c:tx>
        <c:rich>
          <a:bodyPr rot="0" spcFirstLastPara="1" vertOverflow="ellipsis" vert="horz" wrap="square" anchor="ctr" anchorCtr="1"/>
          <a:lstStyle/>
          <a:p>
            <a:pPr>
              <a:defRPr sz="1600" b="1" i="0" u="none" strike="noStrike" kern="1200" spc="0" baseline="0">
                <a:solidFill>
                  <a:srgbClr val="5F5F5F"/>
                </a:solidFill>
                <a:latin typeface="+mn-lt"/>
                <a:ea typeface="+mn-ea"/>
                <a:cs typeface="+mn-cs"/>
              </a:defRPr>
            </a:pPr>
            <a:r>
              <a:rPr lang="en-US" sz="1600" b="1">
                <a:solidFill>
                  <a:srgbClr val="5F5F5F"/>
                </a:solidFill>
              </a:rPr>
              <a:t>Bottom</a:t>
            </a:r>
            <a:r>
              <a:rPr lang="en-US" sz="1600" b="1" baseline="0">
                <a:solidFill>
                  <a:srgbClr val="5F5F5F"/>
                </a:solidFill>
              </a:rPr>
              <a:t> Departments with the Longest Serving Employee</a:t>
            </a:r>
          </a:p>
        </c:rich>
      </c:tx>
      <c:layout>
        <c:manualLayout>
          <c:xMode val="edge"/>
          <c:yMode val="edge"/>
          <c:x val="0.11608198401669721"/>
          <c:y val="2.2368995149959214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60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3.5080693383835154E-2"/>
          <c:y val="0.22676704267272929"/>
          <c:w val="0.94108053763804733"/>
          <c:h val="0.52546095887201405"/>
        </c:manualLayout>
      </c:layout>
      <c:barChart>
        <c:barDir val="col"/>
        <c:grouping val="clustered"/>
        <c:varyColors val="0"/>
        <c:ser>
          <c:idx val="0"/>
          <c:order val="0"/>
          <c:tx>
            <c:strRef>
              <c:f>KPI!$F$73</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60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KPI!$E$74:$E$80</c:f>
              <c:strCache>
                <c:ptCount val="6"/>
                <c:pt idx="0">
                  <c:v>IT</c:v>
                </c:pt>
                <c:pt idx="1">
                  <c:v>Finance</c:v>
                </c:pt>
                <c:pt idx="2">
                  <c:v>Sales</c:v>
                </c:pt>
                <c:pt idx="3">
                  <c:v>Marketing</c:v>
                </c:pt>
                <c:pt idx="4">
                  <c:v>HR</c:v>
                </c:pt>
                <c:pt idx="5">
                  <c:v>Operations</c:v>
                </c:pt>
              </c:strCache>
            </c:strRef>
          </c:cat>
          <c:val>
            <c:numRef>
              <c:f>KPI!$F$74:$F$80</c:f>
              <c:numCache>
                <c:formatCode>General</c:formatCode>
                <c:ptCount val="6"/>
                <c:pt idx="0">
                  <c:v>9</c:v>
                </c:pt>
                <c:pt idx="1">
                  <c:v>5</c:v>
                </c:pt>
                <c:pt idx="2">
                  <c:v>5</c:v>
                </c:pt>
                <c:pt idx="3">
                  <c:v>5</c:v>
                </c:pt>
                <c:pt idx="4">
                  <c:v>4</c:v>
                </c:pt>
                <c:pt idx="5">
                  <c:v>2</c:v>
                </c:pt>
              </c:numCache>
            </c:numRef>
          </c:val>
          <c:extLst>
            <c:ext xmlns:c16="http://schemas.microsoft.com/office/drawing/2014/chart" uri="{C3380CC4-5D6E-409C-BE32-E72D297353CC}">
              <c16:uniqueId val="{00000000-0568-4E64-ACBF-D26651582FF9}"/>
            </c:ext>
          </c:extLst>
        </c:ser>
        <c:dLbls>
          <c:dLblPos val="outEnd"/>
          <c:showLegendKey val="0"/>
          <c:showVal val="1"/>
          <c:showCatName val="0"/>
          <c:showSerName val="0"/>
          <c:showPercent val="0"/>
          <c:showBubbleSize val="0"/>
        </c:dLbls>
        <c:gapWidth val="219"/>
        <c:overlap val="-27"/>
        <c:axId val="783172704"/>
        <c:axId val="783185664"/>
      </c:barChart>
      <c:catAx>
        <c:axId val="78317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NG"/>
          </a:p>
        </c:txPr>
        <c:crossAx val="783185664"/>
        <c:crosses val="autoZero"/>
        <c:auto val="1"/>
        <c:lblAlgn val="ctr"/>
        <c:lblOffset val="100"/>
        <c:noMultiLvlLbl val="0"/>
      </c:catAx>
      <c:valAx>
        <c:axId val="783185664"/>
        <c:scaling>
          <c:orientation val="minMax"/>
        </c:scaling>
        <c:delete val="1"/>
        <c:axPos val="l"/>
        <c:numFmt formatCode="General" sourceLinked="1"/>
        <c:majorTickMark val="none"/>
        <c:minorTickMark val="none"/>
        <c:tickLblPos val="nextTo"/>
        <c:crossAx val="78317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a:outerShdw blurRad="63500" sx="102000" sy="102000" algn="ctr"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 Solutions.xlsx]KPI!PivotTable4</c:name>
    <c:fmtId val="15"/>
  </c:pivotSource>
  <c:chart>
    <c:title>
      <c:tx>
        <c:rich>
          <a:bodyPr rot="0" spcFirstLastPara="1" vertOverflow="ellipsis" vert="horz" wrap="square" anchor="ctr" anchorCtr="1"/>
          <a:lstStyle/>
          <a:p>
            <a:pPr>
              <a:defRPr sz="1600" b="1" i="0" u="none" strike="noStrike" kern="1200" spc="0" baseline="0">
                <a:solidFill>
                  <a:srgbClr val="5F5F5F"/>
                </a:solidFill>
                <a:latin typeface="+mn-lt"/>
                <a:ea typeface="+mn-ea"/>
                <a:cs typeface="+mn-cs"/>
              </a:defRPr>
            </a:pPr>
            <a:r>
              <a:rPr lang="en-US" sz="1600" b="1">
                <a:solidFill>
                  <a:srgbClr val="5F5F5F"/>
                </a:solidFill>
              </a:rPr>
              <a:t>Largest</a:t>
            </a:r>
            <a:r>
              <a:rPr lang="en-US" sz="1600" b="1" baseline="0">
                <a:solidFill>
                  <a:srgbClr val="5F5F5F"/>
                </a:solidFill>
              </a:rPr>
              <a:t> City Workforce</a:t>
            </a:r>
            <a:endParaRPr lang="en-US" sz="1600" b="1">
              <a:solidFill>
                <a:srgbClr val="5F5F5F"/>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5F5F5F"/>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40985217757546"/>
          <c:y val="0.17862631768960405"/>
          <c:w val="0.77649521785992592"/>
          <c:h val="0.78266342805548539"/>
        </c:manualLayout>
      </c:layout>
      <c:barChart>
        <c:barDir val="bar"/>
        <c:grouping val="clustered"/>
        <c:varyColors val="0"/>
        <c:ser>
          <c:idx val="0"/>
          <c:order val="0"/>
          <c:tx>
            <c:strRef>
              <c:f>KPI!$B$85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KPI!$A$86:$A$89</c:f>
              <c:strCache>
                <c:ptCount val="3"/>
                <c:pt idx="0">
                  <c:v>Berlin</c:v>
                </c:pt>
                <c:pt idx="1">
                  <c:v>Toronto</c:v>
                </c:pt>
                <c:pt idx="2">
                  <c:v>Paris</c:v>
                </c:pt>
              </c:strCache>
            </c:strRef>
          </c:cat>
          <c:val>
            <c:numRef>
              <c:f>KPI!$B$86:$B$89</c:f>
              <c:numCache>
                <c:formatCode>General</c:formatCode>
                <c:ptCount val="3"/>
                <c:pt idx="0">
                  <c:v>3</c:v>
                </c:pt>
                <c:pt idx="1">
                  <c:v>3</c:v>
                </c:pt>
                <c:pt idx="2">
                  <c:v>3</c:v>
                </c:pt>
              </c:numCache>
            </c:numRef>
          </c:val>
          <c:extLst>
            <c:ext xmlns:c16="http://schemas.microsoft.com/office/drawing/2014/chart" uri="{C3380CC4-5D6E-409C-BE32-E72D297353CC}">
              <c16:uniqueId val="{00000000-0E6B-43E9-AD0B-0BA8E50409B1}"/>
            </c:ext>
          </c:extLst>
        </c:ser>
        <c:dLbls>
          <c:dLblPos val="outEnd"/>
          <c:showLegendKey val="0"/>
          <c:showVal val="1"/>
          <c:showCatName val="0"/>
          <c:showSerName val="0"/>
          <c:showPercent val="0"/>
          <c:showBubbleSize val="0"/>
        </c:dLbls>
        <c:gapWidth val="182"/>
        <c:axId val="769859728"/>
        <c:axId val="769858288"/>
      </c:barChart>
      <c:catAx>
        <c:axId val="769859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769858288"/>
        <c:crosses val="autoZero"/>
        <c:auto val="1"/>
        <c:lblAlgn val="ctr"/>
        <c:lblOffset val="100"/>
        <c:noMultiLvlLbl val="0"/>
      </c:catAx>
      <c:valAx>
        <c:axId val="769858288"/>
        <c:scaling>
          <c:orientation val="minMax"/>
        </c:scaling>
        <c:delete val="1"/>
        <c:axPos val="b"/>
        <c:numFmt formatCode="General" sourceLinked="1"/>
        <c:majorTickMark val="none"/>
        <c:minorTickMark val="none"/>
        <c:tickLblPos val="nextTo"/>
        <c:crossAx val="76985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a:outerShdw blurRad="63500" sx="102000" sy="102000" algn="ctr"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 Solutions.xlsx]KPI!PivotTable7</c:name>
    <c:fmtId val="1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Salary by Country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03756459884419"/>
          <c:y val="0.16525609656943602"/>
          <c:w val="0.6816652976926254"/>
          <c:h val="0.78875814420304569"/>
        </c:manualLayout>
      </c:layout>
      <c:barChart>
        <c:barDir val="bar"/>
        <c:grouping val="clustered"/>
        <c:varyColors val="0"/>
        <c:ser>
          <c:idx val="0"/>
          <c:order val="0"/>
          <c:tx>
            <c:strRef>
              <c:f>KPI!$F$49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KPI!$E$50:$E$56</c:f>
              <c:strCache>
                <c:ptCount val="6"/>
                <c:pt idx="0">
                  <c:v>India</c:v>
                </c:pt>
                <c:pt idx="1">
                  <c:v>USA</c:v>
                </c:pt>
                <c:pt idx="2">
                  <c:v>UK</c:v>
                </c:pt>
                <c:pt idx="3">
                  <c:v>Germany</c:v>
                </c:pt>
                <c:pt idx="4">
                  <c:v>Canada</c:v>
                </c:pt>
                <c:pt idx="5">
                  <c:v>France</c:v>
                </c:pt>
              </c:strCache>
            </c:strRef>
          </c:cat>
          <c:val>
            <c:numRef>
              <c:f>KPI!$F$50:$F$56</c:f>
              <c:numCache>
                <c:formatCode>_-[$$-409]* #,##0.00_ ;_-[$$-409]* \-#,##0.00\ ;_-[$$-409]* "-"??_ ;_-@_ </c:formatCode>
                <c:ptCount val="6"/>
                <c:pt idx="0">
                  <c:v>114370.41</c:v>
                </c:pt>
                <c:pt idx="1">
                  <c:v>99100.471428571429</c:v>
                </c:pt>
                <c:pt idx="2">
                  <c:v>95518.093999999997</c:v>
                </c:pt>
                <c:pt idx="3">
                  <c:v>91050.45</c:v>
                </c:pt>
                <c:pt idx="4">
                  <c:v>89440.997142857144</c:v>
                </c:pt>
                <c:pt idx="5">
                  <c:v>87500.375</c:v>
                </c:pt>
              </c:numCache>
            </c:numRef>
          </c:val>
          <c:extLst>
            <c:ext xmlns:c16="http://schemas.microsoft.com/office/drawing/2014/chart" uri="{C3380CC4-5D6E-409C-BE32-E72D297353CC}">
              <c16:uniqueId val="{00000000-D859-4FC9-9C71-19214699F748}"/>
            </c:ext>
          </c:extLst>
        </c:ser>
        <c:dLbls>
          <c:showLegendKey val="0"/>
          <c:showVal val="0"/>
          <c:showCatName val="0"/>
          <c:showSerName val="0"/>
          <c:showPercent val="0"/>
          <c:showBubbleSize val="0"/>
        </c:dLbls>
        <c:gapWidth val="182"/>
        <c:axId val="788239551"/>
        <c:axId val="788254431"/>
      </c:barChart>
      <c:catAx>
        <c:axId val="7882395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crossAx val="788254431"/>
        <c:crosses val="autoZero"/>
        <c:auto val="1"/>
        <c:lblAlgn val="ctr"/>
        <c:lblOffset val="100"/>
        <c:noMultiLvlLbl val="0"/>
      </c:catAx>
      <c:valAx>
        <c:axId val="788254431"/>
        <c:scaling>
          <c:orientation val="minMax"/>
        </c:scaling>
        <c:delete val="1"/>
        <c:axPos val="b"/>
        <c:numFmt formatCode="_-[$$-409]* #,##0.00_ ;_-[$$-409]* \-#,##0.00\ ;_-[$$-409]* &quot;-&quot;??_ ;_-@_ " sourceLinked="1"/>
        <c:majorTickMark val="out"/>
        <c:minorTickMark val="none"/>
        <c:tickLblPos val="nextTo"/>
        <c:crossAx val="788239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155863</xdr:colOff>
      <xdr:row>2</xdr:row>
      <xdr:rowOff>171450</xdr:rowOff>
    </xdr:from>
    <xdr:to>
      <xdr:col>33</xdr:col>
      <xdr:colOff>476250</xdr:colOff>
      <xdr:row>46</xdr:row>
      <xdr:rowOff>173183</xdr:rowOff>
    </xdr:to>
    <xdr:sp macro="" textlink="">
      <xdr:nvSpPr>
        <xdr:cNvPr id="17" name="Rectangle 16">
          <a:extLst>
            <a:ext uri="{FF2B5EF4-FFF2-40B4-BE49-F238E27FC236}">
              <a16:creationId xmlns:a16="http://schemas.microsoft.com/office/drawing/2014/main" id="{1AA722CB-72D9-17ED-530A-FEAE9166DD4E}"/>
            </a:ext>
          </a:extLst>
        </xdr:cNvPr>
        <xdr:cNvSpPr/>
      </xdr:nvSpPr>
      <xdr:spPr>
        <a:xfrm>
          <a:off x="1375063" y="628650"/>
          <a:ext cx="19732337" cy="10060133"/>
        </a:xfrm>
        <a:prstGeom prst="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3000"/>
        </a:p>
      </xdr:txBody>
    </xdr:sp>
    <xdr:clientData/>
  </xdr:twoCellAnchor>
  <xdr:twoCellAnchor>
    <xdr:from>
      <xdr:col>8</xdr:col>
      <xdr:colOff>507422</xdr:colOff>
      <xdr:row>3</xdr:row>
      <xdr:rowOff>176646</xdr:rowOff>
    </xdr:from>
    <xdr:to>
      <xdr:col>26</xdr:col>
      <xdr:colOff>316922</xdr:colOff>
      <xdr:row>7</xdr:row>
      <xdr:rowOff>221326</xdr:rowOff>
    </xdr:to>
    <xdr:sp macro="" textlink="">
      <xdr:nvSpPr>
        <xdr:cNvPr id="2" name="Rectangle: Rounded Corners 1">
          <a:extLst>
            <a:ext uri="{FF2B5EF4-FFF2-40B4-BE49-F238E27FC236}">
              <a16:creationId xmlns:a16="http://schemas.microsoft.com/office/drawing/2014/main" id="{F36375DC-AA67-6747-CDCF-286B9381DADB}"/>
            </a:ext>
          </a:extLst>
        </xdr:cNvPr>
        <xdr:cNvSpPr/>
      </xdr:nvSpPr>
      <xdr:spPr>
        <a:xfrm>
          <a:off x="5898572" y="633846"/>
          <a:ext cx="10782300" cy="959080"/>
        </a:xfrm>
        <a:prstGeom prst="roundRect">
          <a:avLst>
            <a:gd name="adj" fmla="val 36895"/>
          </a:avLst>
        </a:prstGeom>
        <a:solidFill>
          <a:srgbClr val="1E3A8A"/>
        </a:solidFill>
        <a:ln>
          <a:noFill/>
        </a:ln>
        <a:effectLst>
          <a:outerShdw blurRad="63500" sx="102000" sy="102000" algn="ctr"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baseline="0">
              <a:solidFill>
                <a:srgbClr val="FFFFFF"/>
              </a:solidFill>
              <a:latin typeface="Times New Roman" panose="02020603050405020304" pitchFamily="18" charset="0"/>
              <a:cs typeface="Times New Roman" panose="02020603050405020304" pitchFamily="18" charset="0"/>
            </a:rPr>
            <a:t>  </a:t>
          </a:r>
          <a:r>
            <a:rPr lang="en-US" sz="3600" b="1">
              <a:solidFill>
                <a:srgbClr val="FFFFFF"/>
              </a:solidFill>
              <a:latin typeface="Times New Roman" panose="02020603050405020304" pitchFamily="18" charset="0"/>
              <a:cs typeface="Times New Roman" panose="02020603050405020304" pitchFamily="18" charset="0"/>
            </a:rPr>
            <a:t>Company Workforce &amp; Compensation Dashboard</a:t>
          </a:r>
          <a:endParaRPr lang="en-NG" sz="3600" b="1">
            <a:solidFill>
              <a:srgbClr val="FFFFFF"/>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129085</xdr:colOff>
      <xdr:row>17</xdr:row>
      <xdr:rowOff>113891</xdr:rowOff>
    </xdr:from>
    <xdr:to>
      <xdr:col>11</xdr:col>
      <xdr:colOff>523444</xdr:colOff>
      <xdr:row>31</xdr:row>
      <xdr:rowOff>59384</xdr:rowOff>
    </xdr:to>
    <xdr:graphicFrame macro="">
      <xdr:nvGraphicFramePr>
        <xdr:cNvPr id="8" name="Chart 7">
          <a:extLst>
            <a:ext uri="{FF2B5EF4-FFF2-40B4-BE49-F238E27FC236}">
              <a16:creationId xmlns:a16="http://schemas.microsoft.com/office/drawing/2014/main" id="{03A670B2-0BBA-43CB-8E33-D37F22122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363682</xdr:colOff>
      <xdr:row>32</xdr:row>
      <xdr:rowOff>17319</xdr:rowOff>
    </xdr:from>
    <xdr:to>
      <xdr:col>33</xdr:col>
      <xdr:colOff>269875</xdr:colOff>
      <xdr:row>45</xdr:row>
      <xdr:rowOff>173182</xdr:rowOff>
    </xdr:to>
    <xdr:graphicFrame macro="">
      <xdr:nvGraphicFramePr>
        <xdr:cNvPr id="9" name="Chart 8">
          <a:extLst>
            <a:ext uri="{FF2B5EF4-FFF2-40B4-BE49-F238E27FC236}">
              <a16:creationId xmlns:a16="http://schemas.microsoft.com/office/drawing/2014/main" id="{346272F0-113C-4C98-A091-B93DF4567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167367</xdr:colOff>
      <xdr:row>17</xdr:row>
      <xdr:rowOff>113891</xdr:rowOff>
    </xdr:from>
    <xdr:to>
      <xdr:col>26</xdr:col>
      <xdr:colOff>133231</xdr:colOff>
      <xdr:row>31</xdr:row>
      <xdr:rowOff>60848</xdr:rowOff>
    </xdr:to>
    <xdr:graphicFrame macro="">
      <xdr:nvGraphicFramePr>
        <xdr:cNvPr id="10" name="Chart 9">
          <a:extLst>
            <a:ext uri="{FF2B5EF4-FFF2-40B4-BE49-F238E27FC236}">
              <a16:creationId xmlns:a16="http://schemas.microsoft.com/office/drawing/2014/main" id="{A06D9A73-80DA-4546-98A2-BCCC4940E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171449</xdr:colOff>
      <xdr:row>31</xdr:row>
      <xdr:rowOff>209550</xdr:rowOff>
    </xdr:from>
    <xdr:to>
      <xdr:col>26</xdr:col>
      <xdr:colOff>142002</xdr:colOff>
      <xdr:row>45</xdr:row>
      <xdr:rowOff>173181</xdr:rowOff>
    </xdr:to>
    <xdr:graphicFrame macro="">
      <xdr:nvGraphicFramePr>
        <xdr:cNvPr id="3" name="Chart 2">
          <a:extLst>
            <a:ext uri="{FF2B5EF4-FFF2-40B4-BE49-F238E27FC236}">
              <a16:creationId xmlns:a16="http://schemas.microsoft.com/office/drawing/2014/main" id="{06966CDD-E09A-4CF6-947C-3ACCA2233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82889</xdr:colOff>
      <xdr:row>31</xdr:row>
      <xdr:rowOff>209550</xdr:rowOff>
    </xdr:from>
    <xdr:to>
      <xdr:col>18</xdr:col>
      <xdr:colOff>585772</xdr:colOff>
      <xdr:row>45</xdr:row>
      <xdr:rowOff>173182</xdr:rowOff>
    </xdr:to>
    <xdr:graphicFrame macro="">
      <xdr:nvGraphicFramePr>
        <xdr:cNvPr id="12" name="Chart 11">
          <a:extLst>
            <a:ext uri="{FF2B5EF4-FFF2-40B4-BE49-F238E27FC236}">
              <a16:creationId xmlns:a16="http://schemas.microsoft.com/office/drawing/2014/main" id="{B9B31CF6-C81C-48EB-A053-0C89AB36C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46516</xdr:colOff>
      <xdr:row>17</xdr:row>
      <xdr:rowOff>113891</xdr:rowOff>
    </xdr:from>
    <xdr:to>
      <xdr:col>18</xdr:col>
      <xdr:colOff>582221</xdr:colOff>
      <xdr:row>31</xdr:row>
      <xdr:rowOff>56346</xdr:rowOff>
    </xdr:to>
    <xdr:graphicFrame macro="">
      <xdr:nvGraphicFramePr>
        <xdr:cNvPr id="14" name="Chart 13">
          <a:extLst>
            <a:ext uri="{FF2B5EF4-FFF2-40B4-BE49-F238E27FC236}">
              <a16:creationId xmlns:a16="http://schemas.microsoft.com/office/drawing/2014/main" id="{5EB8F08A-BB3E-44E2-8DCC-749922F96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347033</xdr:colOff>
      <xdr:row>17</xdr:row>
      <xdr:rowOff>113891</xdr:rowOff>
    </xdr:from>
    <xdr:to>
      <xdr:col>33</xdr:col>
      <xdr:colOff>269875</xdr:colOff>
      <xdr:row>31</xdr:row>
      <xdr:rowOff>47352</xdr:rowOff>
    </xdr:to>
    <xdr:graphicFrame macro="">
      <xdr:nvGraphicFramePr>
        <xdr:cNvPr id="15" name="Chart 14">
          <a:extLst>
            <a:ext uri="{FF2B5EF4-FFF2-40B4-BE49-F238E27FC236}">
              <a16:creationId xmlns:a16="http://schemas.microsoft.com/office/drawing/2014/main" id="{64D26141-7216-4FFC-A4A5-07B7C2E6F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377406</xdr:colOff>
      <xdr:row>17</xdr:row>
      <xdr:rowOff>125801</xdr:rowOff>
    </xdr:from>
    <xdr:to>
      <xdr:col>5</xdr:col>
      <xdr:colOff>557124</xdr:colOff>
      <xdr:row>24</xdr:row>
      <xdr:rowOff>143772</xdr:rowOff>
    </xdr:to>
    <mc:AlternateContent xmlns:mc="http://schemas.openxmlformats.org/markup-compatibility/2006" xmlns:tsle="http://schemas.microsoft.com/office/drawing/2012/timeslicer">
      <mc:Choice Requires="tsle">
        <xdr:graphicFrame macro="">
          <xdr:nvGraphicFramePr>
            <xdr:cNvPr id="19" name="HireDate">
              <a:extLst>
                <a:ext uri="{FF2B5EF4-FFF2-40B4-BE49-F238E27FC236}">
                  <a16:creationId xmlns:a16="http://schemas.microsoft.com/office/drawing/2014/main" id="{607A9C9E-A770-5CAE-A9DE-B4ABCAA61629}"/>
                </a:ext>
              </a:extLst>
            </xdr:cNvPr>
            <xdr:cNvGraphicFramePr/>
          </xdr:nvGraphicFramePr>
          <xdr:xfrm>
            <a:off x="0" y="0"/>
            <a:ext cx="0" cy="0"/>
          </xdr:xfrm>
          <a:graphic>
            <a:graphicData uri="http://schemas.microsoft.com/office/drawing/2012/timeslicer">
              <tsle:timeslicer name="HireDate"/>
            </a:graphicData>
          </a:graphic>
        </xdr:graphicFrame>
      </mc:Choice>
      <mc:Fallback xmlns="">
        <xdr:sp macro="" textlink="">
          <xdr:nvSpPr>
            <xdr:cNvPr id="0" name=""/>
            <xdr:cNvSpPr>
              <a:spLocks noTextEdit="1"/>
            </xdr:cNvSpPr>
          </xdr:nvSpPr>
          <xdr:spPr>
            <a:xfrm>
              <a:off x="1599481" y="3360707"/>
              <a:ext cx="2012832" cy="1527593"/>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2</xdr:col>
      <xdr:colOff>395378</xdr:colOff>
      <xdr:row>35</xdr:row>
      <xdr:rowOff>182534</xdr:rowOff>
    </xdr:from>
    <xdr:to>
      <xdr:col>6</xdr:col>
      <xdr:colOff>1</xdr:colOff>
      <xdr:row>45</xdr:row>
      <xdr:rowOff>200508</xdr:rowOff>
    </xdr:to>
    <mc:AlternateContent xmlns:mc="http://schemas.openxmlformats.org/markup-compatibility/2006" xmlns:a14="http://schemas.microsoft.com/office/drawing/2010/main">
      <mc:Choice Requires="a14">
        <xdr:graphicFrame macro="">
          <xdr:nvGraphicFramePr>
            <xdr:cNvPr id="20" name="Department">
              <a:extLst>
                <a:ext uri="{FF2B5EF4-FFF2-40B4-BE49-F238E27FC236}">
                  <a16:creationId xmlns:a16="http://schemas.microsoft.com/office/drawing/2014/main" id="{25B828DC-96CA-A0B2-6C0E-E23BD3F93BD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07651" y="7612034"/>
              <a:ext cx="2029168" cy="226933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395378</xdr:colOff>
      <xdr:row>25</xdr:row>
      <xdr:rowOff>143773</xdr:rowOff>
    </xdr:from>
    <xdr:to>
      <xdr:col>5</xdr:col>
      <xdr:colOff>593070</xdr:colOff>
      <xdr:row>35</xdr:row>
      <xdr:rowOff>17973</xdr:rowOff>
    </xdr:to>
    <mc:AlternateContent xmlns:mc="http://schemas.openxmlformats.org/markup-compatibility/2006" xmlns:a14="http://schemas.microsoft.com/office/drawing/2010/main">
      <mc:Choice Requires="a14">
        <xdr:graphicFrame macro="">
          <xdr:nvGraphicFramePr>
            <xdr:cNvPr id="22" name="Country">
              <a:extLst>
                <a:ext uri="{FF2B5EF4-FFF2-40B4-BE49-F238E27FC236}">
                  <a16:creationId xmlns:a16="http://schemas.microsoft.com/office/drawing/2014/main" id="{19B4ED5E-1A64-6D24-B518-DA0A1B389EE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17453" y="5103962"/>
              <a:ext cx="2030806" cy="203080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103910</xdr:colOff>
      <xdr:row>31</xdr:row>
      <xdr:rowOff>209550</xdr:rowOff>
    </xdr:from>
    <xdr:to>
      <xdr:col>11</xdr:col>
      <xdr:colOff>495300</xdr:colOff>
      <xdr:row>45</xdr:row>
      <xdr:rowOff>200508</xdr:rowOff>
    </xdr:to>
    <xdr:graphicFrame macro="">
      <xdr:nvGraphicFramePr>
        <xdr:cNvPr id="21" name="Chart 20">
          <a:extLst>
            <a:ext uri="{FF2B5EF4-FFF2-40B4-BE49-F238E27FC236}">
              <a16:creationId xmlns:a16="http://schemas.microsoft.com/office/drawing/2014/main" id="{1373DC24-4633-46EC-9EF5-965EEBB43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34638</xdr:colOff>
      <xdr:row>8</xdr:row>
      <xdr:rowOff>190500</xdr:rowOff>
    </xdr:from>
    <xdr:to>
      <xdr:col>32</xdr:col>
      <xdr:colOff>25482</xdr:colOff>
      <xdr:row>16</xdr:row>
      <xdr:rowOff>158716</xdr:rowOff>
    </xdr:to>
    <xdr:grpSp>
      <xdr:nvGrpSpPr>
        <xdr:cNvPr id="36" name="Group 35">
          <a:extLst>
            <a:ext uri="{FF2B5EF4-FFF2-40B4-BE49-F238E27FC236}">
              <a16:creationId xmlns:a16="http://schemas.microsoft.com/office/drawing/2014/main" id="{D650A0AB-780F-468D-7A3B-BFE55722B08B}"/>
            </a:ext>
          </a:extLst>
        </xdr:cNvPr>
        <xdr:cNvGrpSpPr/>
      </xdr:nvGrpSpPr>
      <xdr:grpSpPr>
        <a:xfrm>
          <a:off x="2473038" y="2019300"/>
          <a:ext cx="17573994" cy="1797016"/>
          <a:chOff x="3013364" y="1300306"/>
          <a:chExt cx="17499526" cy="1667936"/>
        </a:xfrm>
        <a:effectLst>
          <a:outerShdw blurRad="63500" sx="102000" sy="102000" algn="ctr" rotWithShape="0">
            <a:prstClr val="black">
              <a:alpha val="40000"/>
            </a:prstClr>
          </a:outerShdw>
        </a:effectLst>
        <a:scene3d>
          <a:camera prst="orthographicFront">
            <a:rot lat="0" lon="0" rev="0"/>
          </a:camera>
          <a:lightRig rig="balanced" dir="t">
            <a:rot lat="0" lon="0" rev="8700000"/>
          </a:lightRig>
        </a:scene3d>
      </xdr:grpSpPr>
      <xdr:grpSp>
        <xdr:nvGrpSpPr>
          <xdr:cNvPr id="35" name="Group 34">
            <a:extLst>
              <a:ext uri="{FF2B5EF4-FFF2-40B4-BE49-F238E27FC236}">
                <a16:creationId xmlns:a16="http://schemas.microsoft.com/office/drawing/2014/main" id="{77AD8C6E-F83A-B20F-80F5-1D0DBC8F3168}"/>
              </a:ext>
            </a:extLst>
          </xdr:cNvPr>
          <xdr:cNvGrpSpPr/>
        </xdr:nvGrpSpPr>
        <xdr:grpSpPr>
          <a:xfrm>
            <a:off x="3035000" y="2159286"/>
            <a:ext cx="17453633" cy="808956"/>
            <a:chOff x="2290318" y="2211239"/>
            <a:chExt cx="17453633" cy="706745"/>
          </a:xfrm>
        </xdr:grpSpPr>
        <xdr:sp macro="" textlink="KPI!A4">
          <xdr:nvSpPr>
            <xdr:cNvPr id="4" name="Rectangle: Rounded Corners 3">
              <a:extLst>
                <a:ext uri="{FF2B5EF4-FFF2-40B4-BE49-F238E27FC236}">
                  <a16:creationId xmlns:a16="http://schemas.microsoft.com/office/drawing/2014/main" id="{C2C136C1-21DC-64A0-D26A-EF2628E18BA6}"/>
                </a:ext>
              </a:extLst>
            </xdr:cNvPr>
            <xdr:cNvSpPr/>
          </xdr:nvSpPr>
          <xdr:spPr>
            <a:xfrm>
              <a:off x="2290318" y="2211239"/>
              <a:ext cx="2736000" cy="706745"/>
            </a:xfrm>
            <a:prstGeom prst="roundRect">
              <a:avLst/>
            </a:prstGeom>
            <a:solidFill>
              <a:srgbClr val="E2E8F0"/>
            </a:solidFill>
            <a:ln w="57150">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4878BA6-60D4-471E-804E-13A447C34D84}" type="TxLink">
                <a:rPr lang="en-US" sz="3200" b="1" i="0" u="none" strike="noStrike" baseline="0">
                  <a:solidFill>
                    <a:srgbClr val="1E3A8A"/>
                  </a:solidFill>
                  <a:latin typeface="Calibri"/>
                  <a:cs typeface="Calibri"/>
                </a:rPr>
                <a:pPr algn="ctr"/>
                <a:t>30</a:t>
              </a:fld>
              <a:endParaRPr lang="en-NG" sz="3200" b="1">
                <a:solidFill>
                  <a:srgbClr val="1E3A8A"/>
                </a:solidFill>
                <a:latin typeface="Calibri body"/>
                <a:cs typeface="Times New Roman" panose="02020603050405020304" pitchFamily="18" charset="0"/>
              </a:endParaRPr>
            </a:p>
          </xdr:txBody>
        </xdr:sp>
        <xdr:sp macro="" textlink="KPI!A16">
          <xdr:nvSpPr>
            <xdr:cNvPr id="5" name="Rectangle: Rounded Corners 4">
              <a:extLst>
                <a:ext uri="{FF2B5EF4-FFF2-40B4-BE49-F238E27FC236}">
                  <a16:creationId xmlns:a16="http://schemas.microsoft.com/office/drawing/2014/main" id="{00999DFE-CA07-B01D-B48A-3DF0F4136DB0}"/>
                </a:ext>
              </a:extLst>
            </xdr:cNvPr>
            <xdr:cNvSpPr/>
          </xdr:nvSpPr>
          <xdr:spPr>
            <a:xfrm>
              <a:off x="11117369" y="2211240"/>
              <a:ext cx="2736000" cy="693969"/>
            </a:xfrm>
            <a:prstGeom prst="roundRect">
              <a:avLst/>
            </a:prstGeom>
            <a:solidFill>
              <a:srgbClr val="E2E8F0"/>
            </a:solidFill>
            <a:ln w="57150">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E6134FB-AF8C-4867-90E3-5D06CF8A965B}" type="TxLink">
                <a:rPr lang="en-US" sz="3000" b="1" i="0" u="none" strike="noStrike">
                  <a:solidFill>
                    <a:srgbClr val="1E3A8A"/>
                  </a:solidFill>
                  <a:latin typeface="Calibri"/>
                  <a:cs typeface="Calibri"/>
                </a:rPr>
                <a:pPr algn="ctr"/>
                <a:t> $2,901,335.20 </a:t>
              </a:fld>
              <a:endParaRPr lang="en-NG" sz="3000" b="1">
                <a:solidFill>
                  <a:srgbClr val="1E3A8A"/>
                </a:solidFill>
                <a:latin typeface="Calibri body"/>
                <a:cs typeface="Times New Roman" panose="02020603050405020304" pitchFamily="18" charset="0"/>
              </a:endParaRPr>
            </a:p>
          </xdr:txBody>
        </xdr:sp>
        <xdr:sp macro="" textlink="KPI!A12">
          <xdr:nvSpPr>
            <xdr:cNvPr id="6" name="Rectangle: Rounded Corners 5">
              <a:extLst>
                <a:ext uri="{FF2B5EF4-FFF2-40B4-BE49-F238E27FC236}">
                  <a16:creationId xmlns:a16="http://schemas.microsoft.com/office/drawing/2014/main" id="{B61701A9-E122-6ABA-F2E8-F6372FCE0B10}"/>
                </a:ext>
              </a:extLst>
            </xdr:cNvPr>
            <xdr:cNvSpPr/>
          </xdr:nvSpPr>
          <xdr:spPr>
            <a:xfrm>
              <a:off x="8152859" y="2211240"/>
              <a:ext cx="2736000" cy="688093"/>
            </a:xfrm>
            <a:prstGeom prst="roundRect">
              <a:avLst/>
            </a:prstGeom>
            <a:solidFill>
              <a:srgbClr val="E2E8F0"/>
            </a:solidFill>
            <a:ln w="57150">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257C34C-B758-4CA4-A99C-F5D5E992BA21}" type="TxLink">
                <a:rPr lang="en-US" sz="3000" b="1" i="0" u="none" strike="noStrike">
                  <a:solidFill>
                    <a:srgbClr val="1E3A8A"/>
                  </a:solidFill>
                  <a:latin typeface="Calibri"/>
                  <a:cs typeface="Calibri"/>
                </a:rPr>
                <a:pPr algn="ctr"/>
                <a:t>8.13</a:t>
              </a:fld>
              <a:endParaRPr lang="en-NG" sz="3000" b="1">
                <a:solidFill>
                  <a:srgbClr val="1E3A8A"/>
                </a:solidFill>
                <a:latin typeface="Calibri body"/>
                <a:cs typeface="Times New Roman" panose="02020603050405020304" pitchFamily="18" charset="0"/>
              </a:endParaRPr>
            </a:p>
          </xdr:txBody>
        </xdr:sp>
        <xdr:sp macro="" textlink="KPI!A8">
          <xdr:nvSpPr>
            <xdr:cNvPr id="7" name="Rectangle: Rounded Corners 6">
              <a:extLst>
                <a:ext uri="{FF2B5EF4-FFF2-40B4-BE49-F238E27FC236}">
                  <a16:creationId xmlns:a16="http://schemas.microsoft.com/office/drawing/2014/main" id="{C7D711B8-7ACC-FAEE-4285-A30765989F9D}"/>
                </a:ext>
              </a:extLst>
            </xdr:cNvPr>
            <xdr:cNvSpPr/>
          </xdr:nvSpPr>
          <xdr:spPr>
            <a:xfrm>
              <a:off x="5216221" y="2211239"/>
              <a:ext cx="2736000" cy="704143"/>
            </a:xfrm>
            <a:prstGeom prst="roundRect">
              <a:avLst/>
            </a:prstGeom>
            <a:solidFill>
              <a:srgbClr val="E2E8F0"/>
            </a:solidFill>
            <a:ln w="57150">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10A82B7-7730-405D-B668-C86A8A8C6F30}" type="TxLink">
                <a:rPr lang="en-US" sz="3000" b="1" i="0" u="none" strike="noStrike">
                  <a:solidFill>
                    <a:srgbClr val="1E3A8A"/>
                  </a:solidFill>
                  <a:latin typeface="Calibri"/>
                  <a:cs typeface="Calibri"/>
                </a:rPr>
                <a:pPr algn="ctr"/>
                <a:t> $96,711.17 </a:t>
              </a:fld>
              <a:endParaRPr lang="en-NG" sz="3000" b="1">
                <a:solidFill>
                  <a:srgbClr val="1E3A8A"/>
                </a:solidFill>
                <a:latin typeface="Calibri body"/>
                <a:cs typeface="Times New Roman" panose="02020603050405020304" pitchFamily="18" charset="0"/>
              </a:endParaRPr>
            </a:p>
          </xdr:txBody>
        </xdr:sp>
        <xdr:sp macro="" textlink="KPI!B74">
          <xdr:nvSpPr>
            <xdr:cNvPr id="13" name="Rectangle: Rounded Corners 12">
              <a:extLst>
                <a:ext uri="{FF2B5EF4-FFF2-40B4-BE49-F238E27FC236}">
                  <a16:creationId xmlns:a16="http://schemas.microsoft.com/office/drawing/2014/main" id="{8FA20465-3F9A-B663-1ED3-75EE4CE1CEEF}"/>
                </a:ext>
              </a:extLst>
            </xdr:cNvPr>
            <xdr:cNvSpPr/>
          </xdr:nvSpPr>
          <xdr:spPr>
            <a:xfrm>
              <a:off x="14076865" y="2211239"/>
              <a:ext cx="2736000" cy="686131"/>
            </a:xfrm>
            <a:prstGeom prst="roundRect">
              <a:avLst/>
            </a:prstGeom>
            <a:solidFill>
              <a:srgbClr val="E2E8F0"/>
            </a:solidFill>
            <a:ln w="57150">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9156F0B-8C1F-4451-8B66-7CC63851F784}" type="TxLink">
                <a:rPr lang="en-US" sz="3000" b="1" i="0" u="none" strike="noStrike">
                  <a:solidFill>
                    <a:srgbClr val="1E3A8A"/>
                  </a:solidFill>
                  <a:latin typeface="Calibri"/>
                  <a:cs typeface="Calibri"/>
                </a:rPr>
                <a:pPr algn="ctr"/>
                <a:t>3</a:t>
              </a:fld>
              <a:endParaRPr lang="en-US" sz="3000" b="1" i="0" u="none" strike="noStrike">
                <a:solidFill>
                  <a:srgbClr val="1E3A8A"/>
                </a:solidFill>
                <a:latin typeface="Calibri body"/>
                <a:cs typeface="Times New Roman" panose="02020603050405020304" pitchFamily="18" charset="0"/>
              </a:endParaRPr>
            </a:p>
          </xdr:txBody>
        </xdr:sp>
        <xdr:sp macro="" textlink="KPI!E86">
          <xdr:nvSpPr>
            <xdr:cNvPr id="16" name="Rectangle: Rounded Corners 15">
              <a:extLst>
                <a:ext uri="{FF2B5EF4-FFF2-40B4-BE49-F238E27FC236}">
                  <a16:creationId xmlns:a16="http://schemas.microsoft.com/office/drawing/2014/main" id="{73AA4D01-612A-1239-0F6C-66A5B381BB9D}"/>
                </a:ext>
              </a:extLst>
            </xdr:cNvPr>
            <xdr:cNvSpPr/>
          </xdr:nvSpPr>
          <xdr:spPr>
            <a:xfrm>
              <a:off x="17007951" y="2211239"/>
              <a:ext cx="2736000" cy="706745"/>
            </a:xfrm>
            <a:prstGeom prst="roundRect">
              <a:avLst/>
            </a:prstGeom>
            <a:solidFill>
              <a:srgbClr val="E2E8F0"/>
            </a:solidFill>
            <a:ln w="57150">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8BFF988-7009-44A5-ADBD-3AF24FD296B0}" type="TxLink">
                <a:rPr lang="en-US" sz="3000" b="1" i="0" u="none" strike="noStrike">
                  <a:solidFill>
                    <a:srgbClr val="1E3A8A"/>
                  </a:solidFill>
                  <a:latin typeface="Calibri"/>
                  <a:cs typeface="Calibri"/>
                </a:rPr>
                <a:pPr algn="ctr"/>
                <a:t>Berlin</a:t>
              </a:fld>
              <a:endParaRPr lang="en-US" sz="3000" b="1" i="0" u="none" strike="noStrike">
                <a:solidFill>
                  <a:srgbClr val="1E3A8A"/>
                </a:solidFill>
                <a:latin typeface="Calibri body"/>
                <a:cs typeface="Times New Roman" panose="02020603050405020304" pitchFamily="18" charset="0"/>
              </a:endParaRPr>
            </a:p>
          </xdr:txBody>
        </xdr:sp>
      </xdr:grpSp>
      <xdr:sp macro="" textlink="">
        <xdr:nvSpPr>
          <xdr:cNvPr id="25" name="Rectangle: Rounded Corners 24">
            <a:extLst>
              <a:ext uri="{FF2B5EF4-FFF2-40B4-BE49-F238E27FC236}">
                <a16:creationId xmlns:a16="http://schemas.microsoft.com/office/drawing/2014/main" id="{9F00F32F-4278-4D60-B1EF-CCEDF168734E}"/>
              </a:ext>
            </a:extLst>
          </xdr:cNvPr>
          <xdr:cNvSpPr/>
        </xdr:nvSpPr>
        <xdr:spPr>
          <a:xfrm>
            <a:off x="8881085" y="1300306"/>
            <a:ext cx="2736000" cy="806400"/>
          </a:xfrm>
          <a:prstGeom prst="roundRect">
            <a:avLst/>
          </a:prstGeom>
          <a:solidFill>
            <a:schemeClr val="tx2">
              <a:lumMod val="40000"/>
              <a:lumOff val="60000"/>
            </a:schemeClr>
          </a:solidFill>
          <a:ln w="57150">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1E3A8A"/>
                </a:solidFill>
                <a:effectLst/>
                <a:uLnTx/>
                <a:uFillTx/>
                <a:latin typeface="Calibri body"/>
                <a:ea typeface="+mn-ea"/>
                <a:cs typeface="Times New Roman" panose="02020603050405020304" pitchFamily="18" charset="0"/>
              </a:rPr>
              <a:t>Average Years</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1E3A8A"/>
                </a:solidFill>
                <a:effectLst/>
                <a:uLnTx/>
                <a:uFillTx/>
                <a:latin typeface="Calibri body"/>
                <a:ea typeface="+mn-ea"/>
                <a:cs typeface="Times New Roman" panose="02020603050405020304" pitchFamily="18" charset="0"/>
              </a:rPr>
              <a:t> of Experience</a:t>
            </a:r>
            <a:endParaRPr kumimoji="0" lang="en-US" sz="2000" b="1" i="0" u="none" strike="noStrike" kern="0" cap="none" spc="0" normalizeH="0" baseline="0" noProof="0">
              <a:ln>
                <a:noFill/>
              </a:ln>
              <a:solidFill>
                <a:srgbClr val="1E3A8A"/>
              </a:solidFill>
              <a:effectLst/>
              <a:uLnTx/>
              <a:uFillTx/>
              <a:latin typeface="Calibri body"/>
              <a:ea typeface="+mn-ea"/>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srgbClr val="1E3A8A"/>
              </a:solidFill>
              <a:effectLst/>
              <a:uLnTx/>
              <a:uFillTx/>
              <a:latin typeface="Calibri body"/>
              <a:ea typeface="+mn-ea"/>
              <a:cs typeface="Calibri"/>
            </a:endParaRPr>
          </a:p>
        </xdr:txBody>
      </xdr:sp>
      <xdr:sp macro="" textlink="">
        <xdr:nvSpPr>
          <xdr:cNvPr id="27" name="Rectangle: Rounded Corners 26">
            <a:extLst>
              <a:ext uri="{FF2B5EF4-FFF2-40B4-BE49-F238E27FC236}">
                <a16:creationId xmlns:a16="http://schemas.microsoft.com/office/drawing/2014/main" id="{F4413FA0-2B0E-4D82-B924-A362C27EED40}"/>
              </a:ext>
            </a:extLst>
          </xdr:cNvPr>
          <xdr:cNvSpPr/>
        </xdr:nvSpPr>
        <xdr:spPr>
          <a:xfrm>
            <a:off x="14824366" y="1301210"/>
            <a:ext cx="2736273" cy="804594"/>
          </a:xfrm>
          <a:prstGeom prst="roundRect">
            <a:avLst/>
          </a:prstGeom>
          <a:solidFill>
            <a:schemeClr val="tx2">
              <a:lumMod val="40000"/>
              <a:lumOff val="60000"/>
            </a:schemeClr>
          </a:solidFill>
          <a:ln w="57150">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1E3A8A"/>
                </a:solidFill>
                <a:effectLst/>
                <a:uLnTx/>
                <a:uFillTx/>
                <a:latin typeface="Calibri body"/>
                <a:ea typeface="+mn-ea"/>
                <a:cs typeface="+mn-cs"/>
              </a:rPr>
              <a:t>Employees</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1E3A8A"/>
                </a:solidFill>
                <a:effectLst/>
                <a:uLnTx/>
                <a:uFillTx/>
                <a:latin typeface="Calibri body"/>
                <a:ea typeface="+mn-ea"/>
                <a:cs typeface="+mn-cs"/>
              </a:rPr>
              <a:t> &lt;3 Years of Experience</a:t>
            </a:r>
            <a:endParaRPr kumimoji="0" lang="en-NG" sz="2000" b="1" i="0" u="none" strike="noStrike" kern="0" cap="none" spc="0" normalizeH="0" baseline="0" noProof="0">
              <a:ln>
                <a:noFill/>
              </a:ln>
              <a:solidFill>
                <a:srgbClr val="1E3A8A"/>
              </a:solidFill>
              <a:effectLst/>
              <a:uLnTx/>
              <a:uFillTx/>
              <a:latin typeface="Calibri body"/>
              <a:ea typeface="+mn-ea"/>
              <a:cs typeface="+mn-cs"/>
            </a:endParaRPr>
          </a:p>
        </xdr:txBody>
      </xdr:sp>
      <xdr:sp macro="" textlink="">
        <xdr:nvSpPr>
          <xdr:cNvPr id="28" name="Rectangle: Rounded Corners 27">
            <a:extLst>
              <a:ext uri="{FF2B5EF4-FFF2-40B4-BE49-F238E27FC236}">
                <a16:creationId xmlns:a16="http://schemas.microsoft.com/office/drawing/2014/main" id="{503B9D41-2964-4B5F-8B40-1A83BB1EE702}"/>
              </a:ext>
            </a:extLst>
          </xdr:cNvPr>
          <xdr:cNvSpPr/>
        </xdr:nvSpPr>
        <xdr:spPr>
          <a:xfrm>
            <a:off x="17776890" y="1300307"/>
            <a:ext cx="2736000" cy="806400"/>
          </a:xfrm>
          <a:prstGeom prst="roundRect">
            <a:avLst/>
          </a:prstGeom>
          <a:solidFill>
            <a:schemeClr val="tx2">
              <a:lumMod val="40000"/>
              <a:lumOff val="60000"/>
            </a:schemeClr>
          </a:solidFill>
          <a:ln w="57150">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1E3A8A"/>
                </a:solidFill>
                <a:effectLst/>
                <a:uLnTx/>
                <a:uFillTx/>
                <a:latin typeface="Calibri body"/>
                <a:ea typeface="+mn-ea"/>
                <a:cs typeface="+mn-cs"/>
              </a:rPr>
              <a:t>City with Highest Total Salary Cost</a:t>
            </a:r>
            <a:endParaRPr kumimoji="0" lang="en-US" sz="2000" b="1" i="0" u="none" strike="noStrike" kern="0" cap="none" spc="0" normalizeH="0" baseline="0" noProof="0">
              <a:ln>
                <a:noFill/>
              </a:ln>
              <a:solidFill>
                <a:srgbClr val="1E3A8A"/>
              </a:solidFill>
              <a:effectLst/>
              <a:uLnTx/>
              <a:uFillTx/>
              <a:latin typeface="Calibri body"/>
              <a:ea typeface="+mn-ea"/>
              <a:cs typeface="Calibri"/>
            </a:endParaRPr>
          </a:p>
        </xdr:txBody>
      </xdr:sp>
      <xdr:sp macro="" textlink="">
        <xdr:nvSpPr>
          <xdr:cNvPr id="29" name="Rectangle: Rounded Corners 28">
            <a:extLst>
              <a:ext uri="{FF2B5EF4-FFF2-40B4-BE49-F238E27FC236}">
                <a16:creationId xmlns:a16="http://schemas.microsoft.com/office/drawing/2014/main" id="{599387FA-A3C4-1695-87DB-1C0D81A3208B}"/>
              </a:ext>
            </a:extLst>
          </xdr:cNvPr>
          <xdr:cNvSpPr/>
        </xdr:nvSpPr>
        <xdr:spPr>
          <a:xfrm>
            <a:off x="11840567" y="1300307"/>
            <a:ext cx="2736000" cy="806400"/>
          </a:xfrm>
          <a:prstGeom prst="roundRect">
            <a:avLst/>
          </a:prstGeom>
          <a:solidFill>
            <a:schemeClr val="tx2">
              <a:lumMod val="40000"/>
              <a:lumOff val="60000"/>
            </a:schemeClr>
          </a:solidFill>
          <a:ln w="57150">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1E3A8A"/>
                </a:solidFill>
                <a:effectLst/>
                <a:uLnTx/>
                <a:uFillTx/>
                <a:latin typeface="Calibri body"/>
                <a:ea typeface="+mn-ea"/>
                <a:cs typeface="Times New Roman" panose="02020603050405020304" pitchFamily="18" charset="0"/>
              </a:rPr>
              <a:t>Total Salary</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srgbClr val="1E3A8A"/>
              </a:solidFill>
              <a:effectLst/>
              <a:uLnTx/>
              <a:uFillTx/>
              <a:latin typeface="Calibri body"/>
              <a:ea typeface="+mn-ea"/>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srgbClr val="1E3A8A"/>
              </a:solidFill>
              <a:effectLst/>
              <a:uLnTx/>
              <a:uFillTx/>
              <a:latin typeface="Calibri body"/>
              <a:ea typeface="+mn-ea"/>
              <a:cs typeface="Calibri"/>
            </a:endParaRPr>
          </a:p>
        </xdr:txBody>
      </xdr:sp>
      <xdr:sp macro="" textlink="">
        <xdr:nvSpPr>
          <xdr:cNvPr id="30" name="Rectangle: Rounded Corners 29">
            <a:extLst>
              <a:ext uri="{FF2B5EF4-FFF2-40B4-BE49-F238E27FC236}">
                <a16:creationId xmlns:a16="http://schemas.microsoft.com/office/drawing/2014/main" id="{E0A42C06-957A-832C-8861-9946989B53D3}"/>
              </a:ext>
            </a:extLst>
          </xdr:cNvPr>
          <xdr:cNvSpPr/>
        </xdr:nvSpPr>
        <xdr:spPr>
          <a:xfrm>
            <a:off x="5964468" y="1300307"/>
            <a:ext cx="2736000" cy="806400"/>
          </a:xfrm>
          <a:prstGeom prst="roundRect">
            <a:avLst/>
          </a:prstGeom>
          <a:solidFill>
            <a:schemeClr val="tx2">
              <a:lumMod val="40000"/>
              <a:lumOff val="60000"/>
            </a:schemeClr>
          </a:solidFill>
          <a:ln w="57150">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1E3A8A"/>
                </a:solidFill>
                <a:effectLst/>
                <a:uLnTx/>
                <a:uFillTx/>
                <a:latin typeface="Calibri body"/>
                <a:ea typeface="+mn-ea"/>
                <a:cs typeface="Times New Roman" panose="02020603050405020304" pitchFamily="18" charset="0"/>
              </a:rPr>
              <a:t>Average Salary</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srgbClr val="1E3A8A"/>
              </a:solidFill>
              <a:effectLst/>
              <a:uLnTx/>
              <a:uFillTx/>
              <a:latin typeface="Calibri body"/>
              <a:ea typeface="+mn-ea"/>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srgbClr val="1E3A8A"/>
              </a:solidFill>
              <a:effectLst/>
              <a:uLnTx/>
              <a:uFillTx/>
              <a:latin typeface="Calibri body"/>
              <a:ea typeface="+mn-ea"/>
              <a:cs typeface="Calibri"/>
            </a:endParaRPr>
          </a:p>
        </xdr:txBody>
      </xdr:sp>
      <xdr:sp macro="" textlink="">
        <xdr:nvSpPr>
          <xdr:cNvPr id="31" name="Rectangle: Rounded Corners 30">
            <a:extLst>
              <a:ext uri="{FF2B5EF4-FFF2-40B4-BE49-F238E27FC236}">
                <a16:creationId xmlns:a16="http://schemas.microsoft.com/office/drawing/2014/main" id="{AB464070-7749-9BEB-D2B9-738C3FF77E69}"/>
              </a:ext>
            </a:extLst>
          </xdr:cNvPr>
          <xdr:cNvSpPr/>
        </xdr:nvSpPr>
        <xdr:spPr>
          <a:xfrm>
            <a:off x="3013364" y="1300307"/>
            <a:ext cx="2736000" cy="806400"/>
          </a:xfrm>
          <a:prstGeom prst="roundRect">
            <a:avLst/>
          </a:prstGeom>
          <a:solidFill>
            <a:schemeClr val="tx2">
              <a:lumMod val="40000"/>
              <a:lumOff val="60000"/>
            </a:schemeClr>
          </a:solidFill>
          <a:ln w="57150">
            <a:noFill/>
          </a:ln>
          <a:effectLst>
            <a:outerShdw blurRad="44450" dist="27940" dir="5400000" algn="ctr">
              <a:srgbClr val="000000">
                <a:alpha val="32000"/>
              </a:srgb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1E3A8A"/>
                </a:solidFill>
                <a:effectLst/>
                <a:uLnTx/>
                <a:uFillTx/>
                <a:latin typeface="Calibri body"/>
                <a:ea typeface="+mn-ea"/>
                <a:cs typeface="Times New Roman" panose="02020603050405020304" pitchFamily="18" charset="0"/>
              </a:rPr>
              <a:t>Total Employee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srgbClr val="1E3A8A"/>
              </a:solidFill>
              <a:effectLst/>
              <a:uLnTx/>
              <a:uFillTx/>
              <a:latin typeface="Calibri body"/>
              <a:ea typeface="+mn-ea"/>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srgbClr val="1E3A8A"/>
              </a:solidFill>
              <a:effectLst/>
              <a:uLnTx/>
              <a:uFillTx/>
              <a:latin typeface="Calibri body"/>
              <a:ea typeface="+mn-ea"/>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srgbClr val="1E3A8A"/>
              </a:solidFill>
              <a:effectLst/>
              <a:uLnTx/>
              <a:uFillTx/>
              <a:latin typeface="Calibri body"/>
              <a:ea typeface="+mn-ea"/>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srgbClr val="1E3A8A"/>
              </a:solidFill>
              <a:effectLst/>
              <a:uLnTx/>
              <a:uFillTx/>
              <a:latin typeface="Calibri body"/>
              <a:ea typeface="+mn-ea"/>
              <a:cs typeface="Calibri"/>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43.028994791668" createdVersion="8" refreshedVersion="8" minRefreshableVersion="3" recordCount="30" xr:uid="{1DE0CAAF-811B-4271-815D-3A4ED9FFAC5C}">
  <cacheSource type="worksheet">
    <worksheetSource name="Table1"/>
  </cacheSource>
  <cacheFields count="16">
    <cacheField name="EmpID" numFmtId="0">
      <sharedItems count="30">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haredItems>
    </cacheField>
    <cacheField name="FullName" numFmtId="0">
      <sharedItems count="30">
        <s v="Laura Doe"/>
        <s v="John Brown"/>
        <s v="Jane Smith"/>
        <s v="James Johnson"/>
        <s v="Sophia Lee"/>
        <s v="David Kim"/>
        <s v="Emma Garcia"/>
        <s v="Daniel Scott"/>
        <s v="Olivia Miller"/>
        <s v="William Davis"/>
        <s v="Ethan Wilson"/>
        <s v="Ava Taylor"/>
        <s v="Michael Clark"/>
        <s v="Isabella White"/>
        <s v="Alexander Hall"/>
        <s v="Mia Young"/>
        <s v="Jacob Allen"/>
        <s v="Charlotte King"/>
        <s v="Henry Wright"/>
        <s v="Amelia Adams"/>
        <s v="Lucas Nelson"/>
        <s v="Harper Baker"/>
        <s v="Daniel Perez"/>
        <s v="Evelyn Rivera"/>
        <s v="Matthew Carter"/>
        <s v="Sofia Mitchell"/>
        <s v="Benjamin Roberts"/>
        <s v="Abigail Turner"/>
        <s v="Joseph Phillips"/>
        <s v="Emily Campbell"/>
      </sharedItems>
    </cacheField>
    <cacheField name="JobTitle" numFmtId="0">
      <sharedItems count="23">
        <s v="HR Specialist"/>
        <s v="Data Analyst"/>
        <s v="Developer"/>
        <s v="Project Manager"/>
        <s v="Data Scientist"/>
        <s v="Financial Analyst"/>
        <s v="Designer"/>
        <s v="Software Engineer"/>
        <s v="Product Manager"/>
        <s v="HR Manager"/>
        <s v="Support Engineer"/>
        <s v="Marketing Specialist"/>
        <s v="DevOps Engineer"/>
        <s v="Recruiter"/>
        <s v="UI/UX Designer"/>
        <s v="Accountant"/>
        <s v="Marketing Analyst"/>
        <s v="Product Owner"/>
        <s v="Customer Support"/>
        <s v="Data Engineer"/>
        <s v="Sales Executive"/>
        <s v="HR Generalist"/>
        <s v="Marketing Manager"/>
      </sharedItems>
    </cacheField>
    <cacheField name="Department" numFmtId="0">
      <sharedItems count="6">
        <s v="Finance"/>
        <s v="IT"/>
        <s v="Sales"/>
        <s v="Operations"/>
        <s v="Marketing"/>
        <s v="HR"/>
      </sharedItems>
    </cacheField>
    <cacheField name="HireDate" numFmtId="14">
      <sharedItems containsSemiMixedTypes="0" containsNonDate="0" containsDate="1" containsString="0" minDate="2012-02-14T00:00:00" maxDate="2022-07-14T00:00:00" count="30">
        <d v="2012-02-14T00:00:00"/>
        <d v="2018-10-07T00:00:00"/>
        <d v="2019-10-24T00:00:00"/>
        <d v="2016-06-01T00:00:00"/>
        <d v="2020-03-15T00:00:00"/>
        <d v="2015-09-21T00:00:00"/>
        <d v="2017-12-11T00:00:00"/>
        <d v="2014-07-25T00:00:00"/>
        <d v="2019-01-09T00:00:00"/>
        <d v="2013-05-30T00:00:00"/>
        <d v="2018-02-17T00:00:00"/>
        <d v="2021-06-20T00:00:00"/>
        <d v="2016-08-05T00:00:00"/>
        <d v="2017-10-19T00:00:00"/>
        <d v="2014-11-25T00:00:00"/>
        <d v="2019-04-14T00:00:00"/>
        <d v="2015-01-09T00:00:00"/>
        <d v="2022-07-13T00:00:00"/>
        <d v="2013-03-18T00:00:00"/>
        <d v="2020-08-29T00:00:00"/>
        <d v="2016-12-02T00:00:00"/>
        <d v="2018-09-17T00:00:00"/>
        <d v="2012-04-22T00:00:00"/>
        <d v="2019-07-03T00:00:00"/>
        <d v="2017-05-30T00:00:00"/>
        <d v="2014-10-27T00:00:00"/>
        <d v="2016-01-11T00:00:00"/>
        <d v="2015-07-19T00:00:00"/>
        <d v="2018-11-05T00:00:00"/>
        <d v="2013-09-23T00:00:00"/>
      </sharedItems>
      <fieldGroup par="15"/>
    </cacheField>
    <cacheField name="Salary" numFmtId="164">
      <sharedItems containsSemiMixedTypes="0" containsString="0" containsNumber="1" minValue="58200.800000000003" maxValue="134800.95000000001" count="30">
        <n v="78960.73"/>
        <n v="105887.97"/>
        <n v="97023.2"/>
        <n v="125500"/>
        <n v="115450.5"/>
        <n v="98400.75"/>
        <n v="76500.2"/>
        <n v="134200"/>
        <n v="112300.65"/>
        <n v="89400.8"/>
        <n v="68500.899999999994"/>
        <n v="60200.45"/>
        <n v="121300.1"/>
        <n v="99800.75"/>
        <n v="109500.25"/>
        <n v="71500.55"/>
        <n v="85000.65"/>
        <n v="125700.85"/>
        <n v="88000.4"/>
        <n v="104500.7"/>
        <n v="78200.350000000006"/>
        <n v="69800.25"/>
        <n v="134800.95000000001"/>
        <n v="58200.800000000003"/>
        <n v="93600.6"/>
        <n v="128300.2"/>
        <n v="74500.350000000006"/>
        <n v="81000.55"/>
        <n v="115800"/>
        <n v="99500.75"/>
      </sharedItems>
    </cacheField>
    <cacheField name="YearsExperience" numFmtId="0">
      <sharedItems containsSemiMixedTypes="0" containsString="0" containsNumber="1" minValue="1.3" maxValue="15" count="30">
        <n v="13.1"/>
        <n v="14.8"/>
        <n v="1.3"/>
        <n v="11.4"/>
        <n v="4.5"/>
        <n v="9.6999999999999993"/>
        <n v="6.1"/>
        <n v="12"/>
        <n v="3.9"/>
        <n v="14.2"/>
        <n v="5.7"/>
        <n v="2.1"/>
        <n v="8.5"/>
        <n v="7.3"/>
        <n v="10.199999999999999"/>
        <n v="4"/>
        <n v="9.5"/>
        <n v="2.5"/>
        <n v="15"/>
        <n v="3.3"/>
        <n v="6.9"/>
        <n v="5.2"/>
        <n v="14.6"/>
        <n v="3.1"/>
        <n v="7.7"/>
        <n v="11.1"/>
        <n v="8.1999999999999993"/>
        <n v="9.9"/>
        <n v="5.4"/>
        <n v="12.7"/>
      </sharedItems>
    </cacheField>
    <cacheField name="Country" numFmtId="0">
      <sharedItems count="6">
        <s v="Canada"/>
        <s v="UK"/>
        <s v="USA"/>
        <s v="India"/>
        <s v="France"/>
        <s v="Germany"/>
      </sharedItems>
    </cacheField>
    <cacheField name="City" numFmtId="0">
      <sharedItems count="23">
        <s v="Toronto"/>
        <s v="Berlin"/>
        <s v="New York"/>
        <s v="Delhi"/>
        <s v="Paris"/>
        <s v="Chicago"/>
        <s v="Montreal"/>
        <s v="Boston"/>
        <s v="Lyon"/>
        <s v="Mumbai"/>
        <s v="Vancouver"/>
        <s v="London"/>
        <s v="Miami"/>
        <s v="Bangalore"/>
        <s v="Manchester"/>
        <s v="Hamburg"/>
        <s v="San Francisco"/>
        <s v="Bristol"/>
        <s v="Hyderabad"/>
        <s v="Ottawa"/>
        <s v="Atlanta"/>
        <s v="Chennai"/>
        <s v="Liverpool"/>
      </sharedItems>
    </cacheField>
    <cacheField name="YearsofService" numFmtId="165">
      <sharedItems containsSemiMixedTypes="0" containsString="0" containsNumber="1" minValue="3.25" maxValue="13.583333333333334"/>
    </cacheField>
    <cacheField name="Above10yearsofservice" numFmtId="165">
      <sharedItems count="2">
        <s v="Above 10 years"/>
        <s v="Below 10 years"/>
      </sharedItems>
    </cacheField>
    <cacheField name="Less Than 3 Years" numFmtId="165">
      <sharedItems count="2">
        <s v="3 Years and Above"/>
        <s v="Less than 3 Years"/>
      </sharedItems>
    </cacheField>
    <cacheField name="Class" numFmtId="0">
      <sharedItems count="2">
        <s v="Normal"/>
        <s v="High Class"/>
      </sharedItems>
    </cacheField>
    <cacheField name="Months (HireDate)" numFmtId="0" databaseField="0">
      <fieldGroup base="4">
        <rangePr groupBy="months" startDate="2012-02-14T00:00:00" endDate="2022-07-14T00:00:00"/>
        <groupItems count="14">
          <s v="&lt;14/02/2012"/>
          <s v="Jan"/>
          <s v="Feb"/>
          <s v="Mar"/>
          <s v="Apr"/>
          <s v="May"/>
          <s v="Jun"/>
          <s v="Jul"/>
          <s v="Aug"/>
          <s v="Sep"/>
          <s v="Oct"/>
          <s v="Nov"/>
          <s v="Dec"/>
          <s v="&gt;14/07/2022"/>
        </groupItems>
      </fieldGroup>
    </cacheField>
    <cacheField name="Quarters (HireDate)" numFmtId="0" databaseField="0">
      <fieldGroup base="4">
        <rangePr groupBy="quarters" startDate="2012-02-14T00:00:00" endDate="2022-07-14T00:00:00"/>
        <groupItems count="6">
          <s v="&lt;14/02/2012"/>
          <s v="Qtr1"/>
          <s v="Qtr2"/>
          <s v="Qtr3"/>
          <s v="Qtr4"/>
          <s v="&gt;14/07/2022"/>
        </groupItems>
      </fieldGroup>
    </cacheField>
    <cacheField name="Years (HireDate)" numFmtId="0" databaseField="0">
      <fieldGroup base="4">
        <rangePr groupBy="years" startDate="2012-02-14T00:00:00" endDate="2022-07-14T00:00:00"/>
        <groupItems count="13">
          <s v="&lt;14/02/2012"/>
          <s v="2012"/>
          <s v="2013"/>
          <s v="2014"/>
          <s v="2015"/>
          <s v="2016"/>
          <s v="2017"/>
          <s v="2018"/>
          <s v="2019"/>
          <s v="2020"/>
          <s v="2021"/>
          <s v="2022"/>
          <s v="&gt;14/07/2022"/>
        </groupItems>
      </fieldGroup>
    </cacheField>
  </cacheFields>
  <extLst>
    <ext xmlns:x14="http://schemas.microsoft.com/office/spreadsheetml/2009/9/main" uri="{725AE2AE-9491-48be-B2B4-4EB974FC3084}">
      <x14:pivotCacheDefinition pivotCacheId="2053251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x v="0"/>
    <x v="0"/>
    <x v="0"/>
    <x v="0"/>
    <n v="13.583333333333334"/>
    <x v="0"/>
    <x v="0"/>
    <x v="0"/>
  </r>
  <r>
    <x v="1"/>
    <x v="1"/>
    <x v="1"/>
    <x v="1"/>
    <x v="1"/>
    <x v="1"/>
    <x v="1"/>
    <x v="1"/>
    <x v="1"/>
    <n v="7"/>
    <x v="1"/>
    <x v="0"/>
    <x v="0"/>
  </r>
  <r>
    <x v="2"/>
    <x v="2"/>
    <x v="2"/>
    <x v="2"/>
    <x v="2"/>
    <x v="2"/>
    <x v="2"/>
    <x v="0"/>
    <x v="1"/>
    <n v="5.916666666666667"/>
    <x v="1"/>
    <x v="1"/>
    <x v="1"/>
  </r>
  <r>
    <x v="3"/>
    <x v="3"/>
    <x v="3"/>
    <x v="3"/>
    <x v="3"/>
    <x v="3"/>
    <x v="3"/>
    <x v="2"/>
    <x v="2"/>
    <n v="9.3333333333333339"/>
    <x v="1"/>
    <x v="0"/>
    <x v="0"/>
  </r>
  <r>
    <x v="4"/>
    <x v="4"/>
    <x v="4"/>
    <x v="1"/>
    <x v="4"/>
    <x v="4"/>
    <x v="4"/>
    <x v="3"/>
    <x v="3"/>
    <n v="5.5"/>
    <x v="1"/>
    <x v="0"/>
    <x v="1"/>
  </r>
  <r>
    <x v="5"/>
    <x v="5"/>
    <x v="5"/>
    <x v="0"/>
    <x v="5"/>
    <x v="5"/>
    <x v="5"/>
    <x v="0"/>
    <x v="0"/>
    <n v="10"/>
    <x v="1"/>
    <x v="0"/>
    <x v="1"/>
  </r>
  <r>
    <x v="6"/>
    <x v="6"/>
    <x v="6"/>
    <x v="4"/>
    <x v="6"/>
    <x v="6"/>
    <x v="6"/>
    <x v="4"/>
    <x v="4"/>
    <n v="7.833333333333333"/>
    <x v="1"/>
    <x v="0"/>
    <x v="0"/>
  </r>
  <r>
    <x v="7"/>
    <x v="7"/>
    <x v="7"/>
    <x v="1"/>
    <x v="7"/>
    <x v="7"/>
    <x v="7"/>
    <x v="2"/>
    <x v="5"/>
    <n v="11.166666666666666"/>
    <x v="0"/>
    <x v="0"/>
    <x v="1"/>
  </r>
  <r>
    <x v="8"/>
    <x v="8"/>
    <x v="8"/>
    <x v="2"/>
    <x v="8"/>
    <x v="8"/>
    <x v="8"/>
    <x v="5"/>
    <x v="1"/>
    <n v="6.75"/>
    <x v="1"/>
    <x v="0"/>
    <x v="1"/>
  </r>
  <r>
    <x v="9"/>
    <x v="9"/>
    <x v="9"/>
    <x v="5"/>
    <x v="9"/>
    <x v="9"/>
    <x v="9"/>
    <x v="0"/>
    <x v="6"/>
    <n v="12.333333333333334"/>
    <x v="0"/>
    <x v="0"/>
    <x v="1"/>
  </r>
  <r>
    <x v="10"/>
    <x v="10"/>
    <x v="10"/>
    <x v="1"/>
    <x v="10"/>
    <x v="10"/>
    <x v="10"/>
    <x v="2"/>
    <x v="7"/>
    <n v="7.583333333333333"/>
    <x v="1"/>
    <x v="0"/>
    <x v="0"/>
  </r>
  <r>
    <x v="11"/>
    <x v="11"/>
    <x v="11"/>
    <x v="4"/>
    <x v="11"/>
    <x v="11"/>
    <x v="11"/>
    <x v="4"/>
    <x v="8"/>
    <n v="4.25"/>
    <x v="1"/>
    <x v="1"/>
    <x v="0"/>
  </r>
  <r>
    <x v="12"/>
    <x v="12"/>
    <x v="12"/>
    <x v="1"/>
    <x v="12"/>
    <x v="12"/>
    <x v="12"/>
    <x v="3"/>
    <x v="9"/>
    <n v="9.1666666666666661"/>
    <x v="1"/>
    <x v="0"/>
    <x v="1"/>
  </r>
  <r>
    <x v="13"/>
    <x v="13"/>
    <x v="1"/>
    <x v="0"/>
    <x v="13"/>
    <x v="13"/>
    <x v="13"/>
    <x v="0"/>
    <x v="10"/>
    <n v="7.916666666666667"/>
    <x v="1"/>
    <x v="0"/>
    <x v="1"/>
  </r>
  <r>
    <x v="14"/>
    <x v="14"/>
    <x v="2"/>
    <x v="2"/>
    <x v="14"/>
    <x v="14"/>
    <x v="14"/>
    <x v="1"/>
    <x v="11"/>
    <n v="10.833333333333334"/>
    <x v="0"/>
    <x v="0"/>
    <x v="1"/>
  </r>
  <r>
    <x v="15"/>
    <x v="15"/>
    <x v="13"/>
    <x v="5"/>
    <x v="15"/>
    <x v="15"/>
    <x v="15"/>
    <x v="2"/>
    <x v="12"/>
    <n v="6.416666666666667"/>
    <x v="1"/>
    <x v="0"/>
    <x v="0"/>
  </r>
  <r>
    <x v="16"/>
    <x v="16"/>
    <x v="14"/>
    <x v="4"/>
    <x v="16"/>
    <x v="16"/>
    <x v="16"/>
    <x v="4"/>
    <x v="4"/>
    <n v="10.75"/>
    <x v="0"/>
    <x v="0"/>
    <x v="1"/>
  </r>
  <r>
    <x v="17"/>
    <x v="17"/>
    <x v="4"/>
    <x v="1"/>
    <x v="17"/>
    <x v="17"/>
    <x v="17"/>
    <x v="3"/>
    <x v="13"/>
    <n v="3.25"/>
    <x v="1"/>
    <x v="1"/>
    <x v="1"/>
  </r>
  <r>
    <x v="18"/>
    <x v="18"/>
    <x v="15"/>
    <x v="0"/>
    <x v="18"/>
    <x v="18"/>
    <x v="18"/>
    <x v="0"/>
    <x v="0"/>
    <n v="12.5"/>
    <x v="0"/>
    <x v="0"/>
    <x v="0"/>
  </r>
  <r>
    <x v="19"/>
    <x v="19"/>
    <x v="7"/>
    <x v="1"/>
    <x v="19"/>
    <x v="19"/>
    <x v="19"/>
    <x v="1"/>
    <x v="14"/>
    <n v="5.083333333333333"/>
    <x v="1"/>
    <x v="0"/>
    <x v="0"/>
  </r>
  <r>
    <x v="20"/>
    <x v="20"/>
    <x v="0"/>
    <x v="5"/>
    <x v="20"/>
    <x v="20"/>
    <x v="20"/>
    <x v="2"/>
    <x v="5"/>
    <n v="8.8333333333333339"/>
    <x v="1"/>
    <x v="0"/>
    <x v="0"/>
  </r>
  <r>
    <x v="21"/>
    <x v="21"/>
    <x v="16"/>
    <x v="4"/>
    <x v="21"/>
    <x v="21"/>
    <x v="21"/>
    <x v="5"/>
    <x v="15"/>
    <n v="7"/>
    <x v="1"/>
    <x v="0"/>
    <x v="0"/>
  </r>
  <r>
    <x v="22"/>
    <x v="22"/>
    <x v="17"/>
    <x v="3"/>
    <x v="22"/>
    <x v="22"/>
    <x v="22"/>
    <x v="2"/>
    <x v="16"/>
    <n v="13.416666666666666"/>
    <x v="0"/>
    <x v="0"/>
    <x v="1"/>
  </r>
  <r>
    <x v="23"/>
    <x v="23"/>
    <x v="18"/>
    <x v="2"/>
    <x v="23"/>
    <x v="23"/>
    <x v="23"/>
    <x v="1"/>
    <x v="17"/>
    <n v="6.25"/>
    <x v="1"/>
    <x v="0"/>
    <x v="0"/>
  </r>
  <r>
    <x v="24"/>
    <x v="24"/>
    <x v="5"/>
    <x v="0"/>
    <x v="24"/>
    <x v="24"/>
    <x v="24"/>
    <x v="3"/>
    <x v="18"/>
    <n v="8.3333333333333339"/>
    <x v="1"/>
    <x v="0"/>
    <x v="1"/>
  </r>
  <r>
    <x v="25"/>
    <x v="25"/>
    <x v="19"/>
    <x v="1"/>
    <x v="25"/>
    <x v="25"/>
    <x v="25"/>
    <x v="4"/>
    <x v="4"/>
    <n v="10.916666666666666"/>
    <x v="0"/>
    <x v="0"/>
    <x v="1"/>
  </r>
  <r>
    <x v="26"/>
    <x v="26"/>
    <x v="20"/>
    <x v="2"/>
    <x v="26"/>
    <x v="26"/>
    <x v="26"/>
    <x v="0"/>
    <x v="19"/>
    <n v="9.75"/>
    <x v="1"/>
    <x v="0"/>
    <x v="0"/>
  </r>
  <r>
    <x v="27"/>
    <x v="27"/>
    <x v="21"/>
    <x v="5"/>
    <x v="27"/>
    <x v="27"/>
    <x v="27"/>
    <x v="2"/>
    <x v="20"/>
    <n v="10.166666666666666"/>
    <x v="0"/>
    <x v="0"/>
    <x v="1"/>
  </r>
  <r>
    <x v="28"/>
    <x v="28"/>
    <x v="2"/>
    <x v="1"/>
    <x v="28"/>
    <x v="28"/>
    <x v="28"/>
    <x v="3"/>
    <x v="21"/>
    <n v="6.916666666666667"/>
    <x v="1"/>
    <x v="0"/>
    <x v="1"/>
  </r>
  <r>
    <x v="29"/>
    <x v="29"/>
    <x v="22"/>
    <x v="4"/>
    <x v="29"/>
    <x v="29"/>
    <x v="29"/>
    <x v="1"/>
    <x v="22"/>
    <n v="12"/>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1C72B5-2A62-445C-B0D4-F6DC4AC5F16D}" name="PivotTable1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s of Experience">
  <location ref="CC3:CD57" firstHeaderRow="1" firstDataRow="1" firstDataCol="1"/>
  <pivotFields count="16">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pivotField>
    <pivotField axis="axisRow" dataField="1" showAll="0" sortType="descending">
      <items count="24">
        <item x="15"/>
        <item x="18"/>
        <item x="1"/>
        <item x="19"/>
        <item x="4"/>
        <item x="6"/>
        <item x="2"/>
        <item x="12"/>
        <item x="5"/>
        <item x="21"/>
        <item x="9"/>
        <item x="0"/>
        <item x="16"/>
        <item x="22"/>
        <item x="11"/>
        <item x="8"/>
        <item x="17"/>
        <item x="3"/>
        <item x="13"/>
        <item x="20"/>
        <item x="7"/>
        <item x="10"/>
        <item x="14"/>
        <item t="default"/>
      </items>
      <autoSortScope>
        <pivotArea dataOnly="0" outline="0" fieldPosition="0">
          <references count="1">
            <reference field="4294967294" count="1" selected="0">
              <x v="0"/>
            </reference>
          </references>
        </pivotArea>
      </autoSortScope>
    </pivotField>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multipleItemSelectionAllowed="1" showAll="0" sortType="descending">
      <items count="31">
        <item x="18"/>
        <item x="1"/>
        <item x="22"/>
        <item x="9"/>
        <item x="0"/>
        <item x="29"/>
        <item x="7"/>
        <item x="3"/>
        <item x="25"/>
        <item x="14"/>
        <item x="27"/>
        <item x="5"/>
        <item x="16"/>
        <item x="12"/>
        <item x="26"/>
        <item x="24"/>
        <item x="13"/>
        <item x="20"/>
        <item x="6"/>
        <item x="10"/>
        <item x="28"/>
        <item x="21"/>
        <item x="4"/>
        <item x="15"/>
        <item x="8"/>
        <item x="19"/>
        <item x="23"/>
        <item x="17"/>
        <item x="11"/>
        <item x="2"/>
        <item t="default"/>
      </items>
    </pivotField>
    <pivotField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numFmtId="165" showAll="0"/>
    <pivotField showAll="0">
      <items count="3">
        <item x="0"/>
        <item x="1"/>
        <item t="default"/>
      </items>
    </pivotField>
    <pivotField showAll="0"/>
    <pivotField showAll="0">
      <items count="3">
        <item x="1"/>
        <item h="1" x="0"/>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2">
    <field x="2"/>
    <field x="1"/>
  </rowFields>
  <rowItems count="54">
    <i>
      <x v="6"/>
    </i>
    <i r="1">
      <x v="1"/>
    </i>
    <i r="1">
      <x v="18"/>
    </i>
    <i r="1">
      <x v="20"/>
    </i>
    <i>
      <x v="20"/>
    </i>
    <i r="1">
      <x v="2"/>
    </i>
    <i r="1">
      <x v="7"/>
    </i>
    <i>
      <x v="8"/>
    </i>
    <i r="1">
      <x v="8"/>
    </i>
    <i r="1">
      <x v="23"/>
    </i>
    <i>
      <x v="2"/>
    </i>
    <i r="1">
      <x v="15"/>
    </i>
    <i r="1">
      <x v="19"/>
    </i>
    <i>
      <x v="4"/>
    </i>
    <i r="1">
      <x v="5"/>
    </i>
    <i r="1">
      <x v="28"/>
    </i>
    <i>
      <x v="11"/>
    </i>
    <i r="1">
      <x v="21"/>
    </i>
    <i r="1">
      <x v="22"/>
    </i>
    <i>
      <x v="21"/>
    </i>
    <i r="1">
      <x v="11"/>
    </i>
    <i>
      <x v="17"/>
    </i>
    <i r="1">
      <x v="17"/>
    </i>
    <i>
      <x v="15"/>
    </i>
    <i r="1">
      <x v="26"/>
    </i>
    <i>
      <x v="7"/>
    </i>
    <i r="1">
      <x v="25"/>
    </i>
    <i>
      <x v="19"/>
    </i>
    <i r="1">
      <x v="4"/>
    </i>
    <i>
      <x v="1"/>
    </i>
    <i r="1">
      <x v="12"/>
    </i>
    <i>
      <x v="3"/>
    </i>
    <i r="1">
      <x v="27"/>
    </i>
    <i>
      <x v="9"/>
    </i>
    <i r="1">
      <x/>
    </i>
    <i>
      <x v="16"/>
    </i>
    <i r="1">
      <x v="6"/>
    </i>
    <i>
      <x v="10"/>
    </i>
    <i r="1">
      <x v="29"/>
    </i>
    <i>
      <x v="18"/>
    </i>
    <i r="1">
      <x v="24"/>
    </i>
    <i>
      <x/>
    </i>
    <i r="1">
      <x v="14"/>
    </i>
    <i>
      <x v="5"/>
    </i>
    <i r="1">
      <x v="10"/>
    </i>
    <i>
      <x v="12"/>
    </i>
    <i r="1">
      <x v="13"/>
    </i>
    <i>
      <x v="22"/>
    </i>
    <i r="1">
      <x v="16"/>
    </i>
    <i>
      <x v="13"/>
    </i>
    <i r="1">
      <x v="9"/>
    </i>
    <i>
      <x v="14"/>
    </i>
    <i r="1">
      <x v="3"/>
    </i>
    <i t="grand">
      <x/>
    </i>
  </rowItems>
  <colItems count="1">
    <i/>
  </colItems>
  <dataFields count="1">
    <dataField name="Count of JobTitle" fld="2" subtotal="count" baseField="0" baseItem="0"/>
  </dataFields>
  <formats count="4">
    <format dxfId="23">
      <pivotArea collapsedLevelsAreSubtotals="1" fieldPosition="0">
        <references count="1">
          <reference field="2" count="1">
            <x v="6"/>
          </reference>
        </references>
      </pivotArea>
    </format>
    <format dxfId="22">
      <pivotArea collapsedLevelsAreSubtotals="1" fieldPosition="0">
        <references count="2">
          <reference field="1" count="3">
            <x v="1"/>
            <x v="18"/>
            <x v="20"/>
          </reference>
          <reference field="2" count="1" selected="0">
            <x v="6"/>
          </reference>
        </references>
      </pivotArea>
    </format>
    <format dxfId="21">
      <pivotArea dataOnly="0" labelOnly="1" fieldPosition="0">
        <references count="1">
          <reference field="2" count="1">
            <x v="6"/>
          </reference>
        </references>
      </pivotArea>
    </format>
    <format dxfId="20">
      <pivotArea dataOnly="0" labelOnly="1" fieldPosition="0">
        <references count="2">
          <reference field="1" count="3">
            <x v="1"/>
            <x v="18"/>
            <x v="20"/>
          </reference>
          <reference field="2"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C9C369-8809-4566-92F0-622357DEEB12}" name="PivotTable1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BY3:BZ10" firstHeaderRow="1" firstDataRow="1" firstDataCol="1"/>
  <pivotFields count="16">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sortType="descending">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7">
        <item x="0"/>
        <item x="5"/>
        <item x="1"/>
        <item x="4"/>
        <item x="3"/>
        <item x="2"/>
        <item t="default"/>
      </items>
      <autoSortScope>
        <pivotArea dataOnly="0" outline="0" fieldPosition="0">
          <references count="1">
            <reference field="4294967294" count="1" selected="0">
              <x v="0"/>
            </reference>
          </references>
        </pivotArea>
      </autoSortScope>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multipleItemSelectionAllowed="1" showAll="0" sortType="descending">
      <items count="31">
        <item x="18"/>
        <item x="1"/>
        <item x="22"/>
        <item x="9"/>
        <item x="0"/>
        <item x="29"/>
        <item x="7"/>
        <item x="3"/>
        <item x="25"/>
        <item x="14"/>
        <item x="27"/>
        <item x="5"/>
        <item x="16"/>
        <item x="12"/>
        <item x="26"/>
        <item x="24"/>
        <item x="13"/>
        <item x="20"/>
        <item x="6"/>
        <item x="10"/>
        <item x="28"/>
        <item x="21"/>
        <item x="4"/>
        <item x="15"/>
        <item x="8"/>
        <item x="19"/>
        <item x="23"/>
        <item x="17"/>
        <item x="11"/>
        <item x="2"/>
        <item t="default"/>
      </items>
    </pivotField>
    <pivotField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numFmtId="165" showAll="0"/>
    <pivotField showAll="0">
      <items count="3">
        <item x="0"/>
        <item x="1"/>
        <item t="default"/>
      </items>
    </pivotField>
    <pivotField showAll="0"/>
    <pivotField showAll="0">
      <items count="3">
        <item x="1"/>
        <item h="1" x="0"/>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3"/>
  </rowFields>
  <rowItems count="7">
    <i>
      <x v="2"/>
    </i>
    <i>
      <x/>
    </i>
    <i>
      <x v="5"/>
    </i>
    <i>
      <x v="3"/>
    </i>
    <i>
      <x v="1"/>
    </i>
    <i>
      <x v="4"/>
    </i>
    <i t="grand">
      <x/>
    </i>
  </rowItems>
  <colItems count="1">
    <i/>
  </colItems>
  <dataFields count="1">
    <dataField name="Sum of Salary" fld="5" baseField="1" baseItem="0" numFmtId="164"/>
  </dataFields>
  <formats count="2">
    <format dxfId="25">
      <pivotArea collapsedLevelsAreSubtotals="1" fieldPosition="0">
        <references count="1">
          <reference field="3" count="1">
            <x v="2"/>
          </reference>
        </references>
      </pivotArea>
    </format>
    <format dxfId="24">
      <pivotArea dataOnly="0" labelOnly="1" fieldPosition="0">
        <references count="1">
          <reference field="3"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0E1A15-80E3-4B93-AEF2-B6AA802FDB5D}" name="PivotTable1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 Name">
  <location ref="BU3:BV9" firstHeaderRow="1" firstDataRow="1" firstDataCol="1"/>
  <pivotFields count="16">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measureFilter="1" sortType="descending">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autoSortScope>
        <pivotArea dataOnly="0" outline="0" fieldPosition="0">
          <references count="1">
            <reference field="4294967294" count="1" selected="0">
              <x v="0"/>
            </reference>
          </references>
        </pivotArea>
      </autoSortScope>
    </pivotField>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multipleItemSelectionAllowed="1" showAll="0" sortType="descending">
      <items count="31">
        <item x="18"/>
        <item x="1"/>
        <item x="22"/>
        <item x="9"/>
        <item x="0"/>
        <item x="29"/>
        <item x="7"/>
        <item x="3"/>
        <item x="25"/>
        <item x="14"/>
        <item x="27"/>
        <item x="5"/>
        <item x="16"/>
        <item x="12"/>
        <item x="26"/>
        <item x="24"/>
        <item x="13"/>
        <item x="20"/>
        <item x="6"/>
        <item x="10"/>
        <item x="28"/>
        <item x="21"/>
        <item x="4"/>
        <item x="15"/>
        <item x="8"/>
        <item x="19"/>
        <item x="23"/>
        <item x="17"/>
        <item x="11"/>
        <item x="2"/>
        <item t="default"/>
      </items>
    </pivotField>
    <pivotField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numFmtId="165" showAll="0"/>
    <pivotField showAll="0">
      <items count="3">
        <item x="0"/>
        <item x="1"/>
        <item t="default"/>
      </items>
    </pivotField>
    <pivotField showAll="0"/>
    <pivotField showAll="0">
      <items count="3">
        <item x="1"/>
        <item h="1" x="0"/>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1"/>
  </rowFields>
  <rowItems count="6">
    <i>
      <x v="6"/>
    </i>
    <i>
      <x v="7"/>
    </i>
    <i>
      <x v="27"/>
    </i>
    <i>
      <x v="5"/>
    </i>
    <i>
      <x v="17"/>
    </i>
    <i t="grand">
      <x/>
    </i>
  </rowItems>
  <colItems count="1">
    <i/>
  </colItems>
  <dataFields count="1">
    <dataField name="Sum of Salary" fld="5" baseField="1" baseItem="0" numFmtId="164"/>
  </dataField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97AA18-02E8-41C1-9737-5D14B4386680}"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s of Experience">
  <location ref="BR3:BS6" firstHeaderRow="1" firstDataRow="1" firstDataCol="1"/>
  <pivotFields count="16">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pivotField>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multipleItemSelectionAllowed="1" showAll="0" sortType="descending">
      <items count="31">
        <item x="18"/>
        <item x="1"/>
        <item x="22"/>
        <item x="9"/>
        <item x="0"/>
        <item x="29"/>
        <item x="7"/>
        <item x="3"/>
        <item x="25"/>
        <item x="14"/>
        <item x="27"/>
        <item x="5"/>
        <item x="16"/>
        <item x="12"/>
        <item x="26"/>
        <item x="24"/>
        <item x="13"/>
        <item x="20"/>
        <item x="6"/>
        <item x="10"/>
        <item x="28"/>
        <item x="21"/>
        <item x="4"/>
        <item x="15"/>
        <item x="8"/>
        <item x="19"/>
        <item x="23"/>
        <item x="17"/>
        <item x="11"/>
        <item x="2"/>
        <item t="default"/>
      </items>
    </pivotField>
    <pivotField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numFmtId="165" showAll="0"/>
    <pivotField axis="axisRow" showAll="0">
      <items count="3">
        <item x="0"/>
        <item x="1"/>
        <item t="default"/>
      </items>
    </pivotField>
    <pivotField showAll="0"/>
    <pivotField showAll="0">
      <items count="3">
        <item x="1"/>
        <item h="1" x="0"/>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10"/>
  </rowFields>
  <rowItems count="3">
    <i>
      <x/>
    </i>
    <i>
      <x v="1"/>
    </i>
    <i t="grand">
      <x/>
    </i>
  </rowItems>
  <colItems count="1">
    <i/>
  </colItems>
  <dataFields count="1">
    <dataField name="Average of Salary"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4297ED-7A11-4BAC-8454-14381E536E9A}"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aries">
  <location ref="BO3:BO4" firstHeaderRow="1" firstDataRow="1" firstDataCol="0" rowPageCount="1" colPageCount="1"/>
  <pivotFields count="16">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pivotField>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axis="axisPage" multipleItemSelectionAllowed="1" showAll="0" sortType="descending">
      <items count="31">
        <item h="1" x="18"/>
        <item h="1" x="1"/>
        <item h="1" x="22"/>
        <item h="1" x="9"/>
        <item h="1" x="0"/>
        <item h="1" x="29"/>
        <item h="1" x="7"/>
        <item h="1" x="3"/>
        <item h="1" x="25"/>
        <item h="1" x="14"/>
        <item h="1" x="27"/>
        <item h="1" x="5"/>
        <item h="1" x="16"/>
        <item h="1" x="12"/>
        <item h="1" x="26"/>
        <item h="1" x="24"/>
        <item h="1" x="13"/>
        <item h="1" x="20"/>
        <item h="1" x="6"/>
        <item h="1" x="10"/>
        <item x="28"/>
        <item x="21"/>
        <item x="4"/>
        <item x="15"/>
        <item x="8"/>
        <item x="19"/>
        <item x="23"/>
        <item x="17"/>
        <item x="11"/>
        <item x="2"/>
        <item t="default"/>
      </items>
    </pivotField>
    <pivotField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numFmtId="165" showAll="0"/>
    <pivotField showAll="0">
      <items count="3">
        <item x="0"/>
        <item x="1"/>
        <item t="default"/>
      </items>
    </pivotField>
    <pivotField showAll="0"/>
    <pivotField showAll="0">
      <items count="3">
        <item x="1"/>
        <item h="1" x="0"/>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Items count="1">
    <i/>
  </rowItems>
  <colItems count="1">
    <i/>
  </colItems>
  <pageFields count="1">
    <pageField fld="6" hier="-1"/>
  </pageFields>
  <dataFields count="1">
    <dataField name="Average of Salary" fld="5" subtotal="average" baseField="0" baseItem="0" numFmtId="164"/>
  </dataFields>
  <formats count="1">
    <format dxfId="27">
      <pivotArea dataOnly="0" labelOnly="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42CA9D-5ECB-48C7-BDE9-DAB603444F8D}"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aries">
  <location ref="BL3:BL4" firstHeaderRow="1" firstDataRow="1" firstDataCol="0" rowPageCount="1" colPageCount="1"/>
  <pivotFields count="16">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pivotField>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axis="axisPage" multipleItemSelectionAllowed="1" showAll="0" sortType="descending">
      <items count="31">
        <item h="1" x="18"/>
        <item h="1" x="1"/>
        <item h="1" x="22"/>
        <item h="1" x="9"/>
        <item h="1" x="0"/>
        <item h="1" x="29"/>
        <item h="1" x="7"/>
        <item h="1" x="3"/>
        <item h="1" x="25"/>
        <item x="14"/>
        <item x="27"/>
        <item x="5"/>
        <item x="16"/>
        <item x="12"/>
        <item x="26"/>
        <item x="24"/>
        <item x="13"/>
        <item x="20"/>
        <item x="6"/>
        <item x="10"/>
        <item h="1" x="28"/>
        <item h="1" x="21"/>
        <item h="1" x="4"/>
        <item h="1" x="15"/>
        <item h="1" x="8"/>
        <item h="1" x="19"/>
        <item h="1" x="23"/>
        <item h="1" x="17"/>
        <item h="1" x="11"/>
        <item h="1" x="2"/>
        <item t="default"/>
      </items>
    </pivotField>
    <pivotField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numFmtId="165" showAll="0"/>
    <pivotField showAll="0">
      <items count="3">
        <item x="0"/>
        <item x="1"/>
        <item t="default"/>
      </items>
    </pivotField>
    <pivotField showAll="0"/>
    <pivotField showAll="0">
      <items count="3">
        <item x="1"/>
        <item h="1" x="0"/>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Items count="1">
    <i/>
  </rowItems>
  <colItems count="1">
    <i/>
  </colItems>
  <pageFields count="1">
    <pageField fld="6" hier="-1"/>
  </pageFields>
  <dataFields count="1">
    <dataField name="Average of Salary" fld="5" subtotal="average" baseField="0" baseItem="0" numFmtId="164"/>
  </dataFields>
  <formats count="1">
    <format dxfId="28">
      <pivotArea dataOnly="0" labelOnly="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B70A28-5BAE-436D-B6A1-45FAB4C183E4}"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aries">
  <location ref="BI3:BI4" firstHeaderRow="1" firstDataRow="1" firstDataCol="0" rowPageCount="1" colPageCount="1"/>
  <pivotFields count="16">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pivotField>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axis="axisPage" multipleItemSelectionAllowed="1" showAll="0" sortType="descending">
      <items count="31">
        <item x="18"/>
        <item x="1"/>
        <item x="22"/>
        <item x="9"/>
        <item x="0"/>
        <item x="29"/>
        <item x="7"/>
        <item x="3"/>
        <item x="25"/>
        <item h="1" x="14"/>
        <item h="1" x="27"/>
        <item h="1" x="5"/>
        <item h="1" x="16"/>
        <item h="1" x="12"/>
        <item h="1" x="26"/>
        <item h="1" x="24"/>
        <item h="1" x="13"/>
        <item h="1" x="20"/>
        <item h="1" x="6"/>
        <item h="1" x="10"/>
        <item h="1" x="28"/>
        <item h="1" x="21"/>
        <item h="1" x="4"/>
        <item h="1" x="15"/>
        <item h="1" x="8"/>
        <item h="1" x="19"/>
        <item h="1" x="23"/>
        <item h="1" x="17"/>
        <item h="1" x="11"/>
        <item h="1" x="2"/>
        <item t="default"/>
      </items>
    </pivotField>
    <pivotField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numFmtId="165" showAll="0"/>
    <pivotField showAll="0">
      <items count="3">
        <item x="0"/>
        <item x="1"/>
        <item t="default"/>
      </items>
    </pivotField>
    <pivotField showAll="0"/>
    <pivotField showAll="0">
      <items count="3">
        <item x="1"/>
        <item h="1" x="0"/>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Items count="1">
    <i/>
  </rowItems>
  <colItems count="1">
    <i/>
  </colItems>
  <pageFields count="1">
    <pageField fld="6" hier="-1"/>
  </pageFields>
  <dataFields count="1">
    <dataField name="Average of Salary" fld="5" subtotal="average" baseField="0" baseItem="0" numFmtId="164"/>
  </dataFields>
  <formats count="1">
    <format dxfId="26">
      <pivotArea dataOnly="0" labelOnly="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55D867-32A8-4805-B593-61C02148ECFB}"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X3:BE11" firstHeaderRow="1" firstDataRow="2" firstDataCol="1"/>
  <pivotFields count="16">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pivotField>
    <pivotField showAll="0"/>
    <pivotField axis="axisCol"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pivotField showAll="0" sortType="descending">
      <items count="31">
        <item x="18"/>
        <item x="1"/>
        <item x="22"/>
        <item x="9"/>
        <item x="0"/>
        <item x="29"/>
        <item x="7"/>
        <item x="3"/>
        <item x="25"/>
        <item x="14"/>
        <item x="27"/>
        <item x="5"/>
        <item x="16"/>
        <item x="12"/>
        <item x="26"/>
        <item x="24"/>
        <item x="13"/>
        <item x="20"/>
        <item x="6"/>
        <item x="10"/>
        <item x="28"/>
        <item x="21"/>
        <item x="4"/>
        <item x="15"/>
        <item x="8"/>
        <item x="19"/>
        <item x="23"/>
        <item x="17"/>
        <item x="11"/>
        <item x="2"/>
        <item t="default"/>
      </items>
    </pivotField>
    <pivotField axis="axisRow"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numFmtId="165" showAll="0"/>
    <pivotField showAll="0">
      <items count="3">
        <item x="0"/>
        <item x="1"/>
        <item t="default"/>
      </items>
    </pivotField>
    <pivotField showAll="0"/>
    <pivotField showAll="0">
      <items count="3">
        <item x="1"/>
        <item h="1" x="0"/>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7"/>
  </rowFields>
  <rowItems count="7">
    <i>
      <x/>
    </i>
    <i>
      <x v="1"/>
    </i>
    <i>
      <x v="2"/>
    </i>
    <i>
      <x v="3"/>
    </i>
    <i>
      <x v="4"/>
    </i>
    <i>
      <x v="5"/>
    </i>
    <i t="grand">
      <x/>
    </i>
  </rowItems>
  <colFields count="1">
    <field x="3"/>
  </colFields>
  <colItems count="7">
    <i>
      <x/>
    </i>
    <i>
      <x v="1"/>
    </i>
    <i>
      <x v="2"/>
    </i>
    <i>
      <x v="3"/>
    </i>
    <i>
      <x v="4"/>
    </i>
    <i>
      <x v="5"/>
    </i>
    <i t="grand">
      <x/>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C3EF90-747C-4AB7-BA55-71A956EB0D47}"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W3:AU11" firstHeaderRow="1" firstDataRow="2" firstDataCol="1"/>
  <pivotFields count="16">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pivotField>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pivotField showAll="0" sortType="descending">
      <items count="31">
        <item x="18"/>
        <item x="1"/>
        <item x="22"/>
        <item x="9"/>
        <item x="0"/>
        <item x="29"/>
        <item x="7"/>
        <item x="3"/>
        <item x="25"/>
        <item x="14"/>
        <item x="27"/>
        <item x="5"/>
        <item x="16"/>
        <item x="12"/>
        <item x="26"/>
        <item x="24"/>
        <item x="13"/>
        <item x="20"/>
        <item x="6"/>
        <item x="10"/>
        <item x="28"/>
        <item x="21"/>
        <item x="4"/>
        <item x="15"/>
        <item x="8"/>
        <item x="19"/>
        <item x="23"/>
        <item x="17"/>
        <item x="11"/>
        <item x="2"/>
        <item t="default"/>
      </items>
    </pivotField>
    <pivotField axis="axisRow" showAll="0" sortType="descending">
      <items count="7">
        <item x="0"/>
        <item x="4"/>
        <item x="5"/>
        <item x="3"/>
        <item x="1"/>
        <item x="2"/>
        <item t="default"/>
      </items>
      <autoSortScope>
        <pivotArea dataOnly="0" outline="0" fieldPosition="0">
          <references count="1">
            <reference field="4294967294" count="1" selected="0">
              <x v="0"/>
            </reference>
          </references>
        </pivotArea>
      </autoSortScope>
    </pivotField>
    <pivotField axis="axisCol" showAll="0" sortType="descending">
      <items count="24">
        <item x="20"/>
        <item x="13"/>
        <item x="1"/>
        <item x="7"/>
        <item x="17"/>
        <item x="21"/>
        <item x="5"/>
        <item x="3"/>
        <item x="15"/>
        <item x="18"/>
        <item x="22"/>
        <item x="11"/>
        <item x="8"/>
        <item x="14"/>
        <item x="12"/>
        <item x="6"/>
        <item x="9"/>
        <item x="2"/>
        <item x="19"/>
        <item x="4"/>
        <item x="16"/>
        <item x="0"/>
        <item x="10"/>
        <item t="default"/>
      </items>
      <autoSortScope>
        <pivotArea dataOnly="0" outline="0" fieldPosition="0">
          <references count="1">
            <reference field="4294967294" count="1" selected="0">
              <x v="0"/>
            </reference>
          </references>
        </pivotArea>
      </autoSortScope>
    </pivotField>
    <pivotField numFmtId="165" showAll="0"/>
    <pivotField showAll="0">
      <items count="3">
        <item x="0"/>
        <item x="1"/>
        <item t="default"/>
      </items>
    </pivotField>
    <pivotField showAll="0"/>
    <pivotField showAll="0">
      <items count="3">
        <item x="1"/>
        <item h="1" x="0"/>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7"/>
  </rowFields>
  <rowItems count="7">
    <i>
      <x v="5"/>
    </i>
    <i>
      <x/>
    </i>
    <i>
      <x v="4"/>
    </i>
    <i>
      <x v="3"/>
    </i>
    <i>
      <x v="1"/>
    </i>
    <i>
      <x v="2"/>
    </i>
    <i t="grand">
      <x/>
    </i>
  </rowItems>
  <colFields count="1">
    <field x="8"/>
  </colFields>
  <colItems count="24">
    <i>
      <x v="21"/>
    </i>
    <i>
      <x v="19"/>
    </i>
    <i>
      <x v="2"/>
    </i>
    <i>
      <x v="6"/>
    </i>
    <i>
      <x/>
    </i>
    <i>
      <x v="1"/>
    </i>
    <i>
      <x v="13"/>
    </i>
    <i>
      <x v="5"/>
    </i>
    <i>
      <x v="3"/>
    </i>
    <i>
      <x v="14"/>
    </i>
    <i>
      <x v="12"/>
    </i>
    <i>
      <x v="15"/>
    </i>
    <i>
      <x v="4"/>
    </i>
    <i>
      <x v="17"/>
    </i>
    <i>
      <x v="16"/>
    </i>
    <i>
      <x v="7"/>
    </i>
    <i>
      <x v="18"/>
    </i>
    <i>
      <x v="8"/>
    </i>
    <i>
      <x v="20"/>
    </i>
    <i>
      <x v="9"/>
    </i>
    <i>
      <x v="22"/>
    </i>
    <i>
      <x v="10"/>
    </i>
    <i>
      <x v="11"/>
    </i>
    <i t="grand">
      <x/>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82883E-9943-4662-889F-1449121D47EE}"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Q3:S28" firstHeaderRow="1" firstDataRow="2" firstDataCol="1"/>
  <pivotFields count="16">
    <pivotField showAll="0"/>
    <pivotField axis="axisRow" showAll="0">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pivotField>
    <pivotField showAll="0"/>
    <pivotField axis="axisRow"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pivotField showAll="0" sortType="descending">
      <items count="31">
        <item x="18"/>
        <item x="1"/>
        <item x="22"/>
        <item x="9"/>
        <item x="0"/>
        <item x="29"/>
        <item x="7"/>
        <item x="3"/>
        <item x="25"/>
        <item x="14"/>
        <item x="27"/>
        <item x="5"/>
        <item x="16"/>
        <item x="12"/>
        <item x="26"/>
        <item x="24"/>
        <item x="13"/>
        <item x="20"/>
        <item x="6"/>
        <item x="10"/>
        <item x="28"/>
        <item x="21"/>
        <item x="4"/>
        <item x="15"/>
        <item x="8"/>
        <item x="19"/>
        <item x="23"/>
        <item x="17"/>
        <item x="11"/>
        <item x="2"/>
        <item t="default"/>
      </items>
    </pivotField>
    <pivotField showAll="0"/>
    <pivotField showAll="0"/>
    <pivotField numFmtId="165" showAll="0"/>
    <pivotField showAll="0">
      <items count="3">
        <item x="0"/>
        <item x="1"/>
        <item t="default"/>
      </items>
    </pivotField>
    <pivotField showAll="0"/>
    <pivotField axis="axisCol" showAll="0">
      <items count="3">
        <item x="1"/>
        <item h="1" x="0"/>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2">
    <field x="3"/>
    <field x="1"/>
  </rowFields>
  <rowItems count="24">
    <i>
      <x/>
    </i>
    <i r="1">
      <x v="8"/>
    </i>
    <i r="1">
      <x v="15"/>
    </i>
    <i r="1">
      <x v="23"/>
    </i>
    <i>
      <x v="1"/>
    </i>
    <i r="1">
      <x/>
    </i>
    <i r="1">
      <x v="29"/>
    </i>
    <i>
      <x v="2"/>
    </i>
    <i r="1">
      <x v="5"/>
    </i>
    <i r="1">
      <x v="7"/>
    </i>
    <i r="1">
      <x v="20"/>
    </i>
    <i r="1">
      <x v="25"/>
    </i>
    <i r="1">
      <x v="27"/>
    </i>
    <i r="1">
      <x v="28"/>
    </i>
    <i>
      <x v="3"/>
    </i>
    <i r="1">
      <x v="9"/>
    </i>
    <i r="1">
      <x v="16"/>
    </i>
    <i>
      <x v="4"/>
    </i>
    <i r="1">
      <x v="6"/>
    </i>
    <i>
      <x v="5"/>
    </i>
    <i r="1">
      <x v="1"/>
    </i>
    <i r="1">
      <x v="18"/>
    </i>
    <i r="1">
      <x v="26"/>
    </i>
    <i t="grand">
      <x/>
    </i>
  </rowItems>
  <colFields count="1">
    <field x="12"/>
  </colFields>
  <colItems count="2">
    <i>
      <x/>
    </i>
    <i t="grand">
      <x/>
    </i>
  </colItems>
  <formats count="2">
    <format dxfId="29">
      <pivotArea collapsedLevelsAreSubtotals="1" fieldPosition="0">
        <references count="1">
          <reference field="3" count="1">
            <x v="4"/>
          </reference>
        </references>
      </pivotArea>
    </format>
    <format dxfId="30">
      <pivotArea dataOnly="0" labelOnly="1" fieldPosition="0">
        <references count="1">
          <reference field="3"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6AB60D-5F22-46CE-8940-29273BE5A770}"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M3:N10" firstHeaderRow="1" firstDataRow="1" firstDataCol="1"/>
  <pivotFields count="16">
    <pivotField showAll="0"/>
    <pivotField showAll="0">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pivotField>
    <pivotField showAll="0"/>
    <pivotField axis="axisRow"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pivotField showAll="0" sortType="descending">
      <items count="31">
        <item x="18"/>
        <item x="1"/>
        <item x="22"/>
        <item x="9"/>
        <item x="0"/>
        <item x="29"/>
        <item x="7"/>
        <item x="3"/>
        <item x="25"/>
        <item x="14"/>
        <item x="27"/>
        <item x="5"/>
        <item x="16"/>
        <item x="12"/>
        <item x="26"/>
        <item x="24"/>
        <item x="13"/>
        <item x="20"/>
        <item x="6"/>
        <item x="10"/>
        <item x="28"/>
        <item x="21"/>
        <item x="4"/>
        <item x="15"/>
        <item x="8"/>
        <item x="19"/>
        <item x="23"/>
        <item x="17"/>
        <item x="11"/>
        <item x="2"/>
        <item t="default"/>
      </items>
    </pivotField>
    <pivotField showAll="0"/>
    <pivotField showAll="0"/>
    <pivotField numFmtId="165" showAll="0"/>
    <pivotField showAll="0">
      <items count="3">
        <item x="0"/>
        <item x="1"/>
        <item t="default"/>
      </items>
    </pivotField>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3"/>
  </rowFields>
  <rowItems count="7">
    <i>
      <x/>
    </i>
    <i>
      <x v="1"/>
    </i>
    <i>
      <x v="2"/>
    </i>
    <i>
      <x v="3"/>
    </i>
    <i>
      <x v="4"/>
    </i>
    <i>
      <x v="5"/>
    </i>
    <i t="grand">
      <x/>
    </i>
  </rowItems>
  <colItems count="1">
    <i/>
  </colItems>
  <dataFields count="1">
    <dataField name="Average of Salary" fld="5" subtotal="average" baseField="3" baseItem="0" numFmtId="164"/>
  </dataFields>
  <formats count="2">
    <format dxfId="32">
      <pivotArea collapsedLevelsAreSubtotals="1" fieldPosition="0">
        <references count="1">
          <reference field="3" count="1">
            <x v="4"/>
          </reference>
        </references>
      </pivotArea>
    </format>
    <format dxfId="31">
      <pivotArea dataOnly="0" labelOnly="1" fieldPosition="0">
        <references count="1">
          <reference field="3"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C6CDE3-3944-4702-B991-AF9B6B9BB2CA}"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H3:I10" firstHeaderRow="1" firstDataRow="1" firstDataCol="1"/>
  <pivotFields count="16">
    <pivotField showAll="0"/>
    <pivotField showAll="0">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pivotField>
    <pivotField showAll="0"/>
    <pivotField axis="axisRow" showAll="0" sortType="descending">
      <items count="7">
        <item x="0"/>
        <item x="5"/>
        <item x="1"/>
        <item x="4"/>
        <item x="3"/>
        <item x="2"/>
        <item t="default"/>
      </items>
      <autoSortScope>
        <pivotArea dataOnly="0" outline="0" fieldPosition="0">
          <references count="1">
            <reference field="4294967294" count="1" selected="0">
              <x v="0"/>
            </reference>
          </references>
        </pivotArea>
      </autoSortScope>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pivotField dataField="1" showAll="0" sortType="descending">
      <items count="31">
        <item x="18"/>
        <item x="1"/>
        <item x="22"/>
        <item x="9"/>
        <item x="0"/>
        <item x="29"/>
        <item x="7"/>
        <item x="3"/>
        <item x="25"/>
        <item x="14"/>
        <item x="27"/>
        <item x="5"/>
        <item x="16"/>
        <item x="12"/>
        <item x="26"/>
        <item x="24"/>
        <item x="13"/>
        <item x="20"/>
        <item x="6"/>
        <item x="10"/>
        <item x="28"/>
        <item x="21"/>
        <item x="4"/>
        <item x="15"/>
        <item x="8"/>
        <item x="19"/>
        <item x="23"/>
        <item x="17"/>
        <item x="11"/>
        <item x="2"/>
        <item t="default"/>
      </items>
    </pivotField>
    <pivotField showAll="0"/>
    <pivotField showAll="0"/>
    <pivotField numFmtId="165" showAll="0"/>
    <pivotField showAll="0">
      <items count="3">
        <item x="0"/>
        <item x="1"/>
        <item t="default"/>
      </items>
    </pivotField>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3"/>
  </rowFields>
  <rowItems count="7">
    <i>
      <x v="4"/>
    </i>
    <i>
      <x/>
    </i>
    <i>
      <x v="1"/>
    </i>
    <i>
      <x v="2"/>
    </i>
    <i>
      <x v="3"/>
    </i>
    <i>
      <x v="5"/>
    </i>
    <i t="grand">
      <x/>
    </i>
  </rowItems>
  <colItems count="1">
    <i/>
  </colItems>
  <dataFields count="1">
    <dataField name="Average of YearsExperience" fld="6" subtotal="average" baseField="3" baseItem="0"/>
  </dataFields>
  <formats count="2">
    <format dxfId="34">
      <pivotArea collapsedLevelsAreSubtotals="1" fieldPosition="0">
        <references count="1">
          <reference field="3" count="1">
            <x v="4"/>
          </reference>
        </references>
      </pivotArea>
    </format>
    <format dxfId="33">
      <pivotArea dataOnly="0" labelOnly="1" fieldPosition="0">
        <references count="1">
          <reference field="3"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77B5A84-D9EF-4A7C-B1D1-28BE1C354D08}"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 Name">
  <location ref="A3:C15" firstHeaderRow="1" firstDataRow="2" firstDataCol="1"/>
  <pivotFields count="16">
    <pivotField showAll="0"/>
    <pivotField axis="axisRow" showAll="0">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pivotField>
    <pivotField showAll="0"/>
    <pivotField showAll="0"/>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pivotField showAll="0" sortType="descending">
      <items count="31">
        <item x="18"/>
        <item x="1"/>
        <item x="22"/>
        <item x="9"/>
        <item x="0"/>
        <item x="29"/>
        <item x="7"/>
        <item x="3"/>
        <item x="25"/>
        <item x="14"/>
        <item x="27"/>
        <item x="5"/>
        <item x="16"/>
        <item x="12"/>
        <item x="26"/>
        <item x="24"/>
        <item x="13"/>
        <item x="20"/>
        <item x="6"/>
        <item x="10"/>
        <item x="28"/>
        <item x="21"/>
        <item x="4"/>
        <item x="15"/>
        <item x="8"/>
        <item x="19"/>
        <item x="23"/>
        <item x="17"/>
        <item x="11"/>
        <item x="2"/>
        <item t="default"/>
      </items>
    </pivotField>
    <pivotField showAll="0"/>
    <pivotField showAll="0"/>
    <pivotField numFmtId="165" showAll="0"/>
    <pivotField axis="axisCol" showAll="0">
      <items count="3">
        <item x="0"/>
        <item h="1" x="1"/>
        <item t="default"/>
      </items>
    </pivotField>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1"/>
  </rowFields>
  <rowItems count="11">
    <i>
      <x/>
    </i>
    <i>
      <x v="1"/>
    </i>
    <i>
      <x v="6"/>
    </i>
    <i>
      <x v="7"/>
    </i>
    <i>
      <x v="9"/>
    </i>
    <i>
      <x v="14"/>
    </i>
    <i>
      <x v="16"/>
    </i>
    <i>
      <x v="21"/>
    </i>
    <i>
      <x v="27"/>
    </i>
    <i>
      <x v="29"/>
    </i>
    <i t="grand">
      <x/>
    </i>
  </rowItems>
  <colFields count="1">
    <field x="10"/>
  </colFields>
  <colItems count="2">
    <i>
      <x/>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FCEE5FB-028C-4488-884F-B9E2BEC11D50}"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ity">
  <location ref="E85:F109" firstHeaderRow="1" firstDataRow="1" firstDataCol="1"/>
  <pivotFields count="16">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pivotField>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showAll="0"/>
    <pivotField showAll="0">
      <items count="7">
        <item x="0"/>
        <item x="4"/>
        <item x="5"/>
        <item x="3"/>
        <item x="1"/>
        <item x="2"/>
        <item t="default"/>
      </items>
    </pivotField>
    <pivotField axis="axisRow" showAll="0" sortType="descending">
      <items count="24">
        <item x="20"/>
        <item x="13"/>
        <item x="1"/>
        <item x="7"/>
        <item x="17"/>
        <item x="21"/>
        <item x="5"/>
        <item x="3"/>
        <item x="15"/>
        <item x="18"/>
        <item x="22"/>
        <item x="11"/>
        <item x="8"/>
        <item x="14"/>
        <item x="12"/>
        <item x="6"/>
        <item x="9"/>
        <item x="2"/>
        <item x="19"/>
        <item x="4"/>
        <item x="16"/>
        <item x="0"/>
        <item x="10"/>
        <item t="default"/>
      </items>
      <autoSortScope>
        <pivotArea dataOnly="0" outline="0" fieldPosition="0">
          <references count="1">
            <reference field="4294967294" count="1" selected="0">
              <x v="0"/>
            </reference>
          </references>
        </pivotArea>
      </autoSortScope>
    </pivotField>
    <pivotField numFmtId="165"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8"/>
  </rowFields>
  <rowItems count="24">
    <i>
      <x v="2"/>
    </i>
    <i>
      <x v="19"/>
    </i>
    <i>
      <x v="21"/>
    </i>
    <i>
      <x v="6"/>
    </i>
    <i>
      <x v="20"/>
    </i>
    <i>
      <x v="1"/>
    </i>
    <i>
      <x v="17"/>
    </i>
    <i>
      <x v="16"/>
    </i>
    <i>
      <x v="5"/>
    </i>
    <i>
      <x v="7"/>
    </i>
    <i>
      <x v="11"/>
    </i>
    <i>
      <x v="13"/>
    </i>
    <i>
      <x v="22"/>
    </i>
    <i>
      <x v="10"/>
    </i>
    <i>
      <x v="9"/>
    </i>
    <i>
      <x v="15"/>
    </i>
    <i>
      <x/>
    </i>
    <i>
      <x v="18"/>
    </i>
    <i>
      <x v="14"/>
    </i>
    <i>
      <x v="8"/>
    </i>
    <i>
      <x v="3"/>
    </i>
    <i>
      <x v="12"/>
    </i>
    <i>
      <x v="4"/>
    </i>
    <i t="grand">
      <x/>
    </i>
  </rowItems>
  <colItems count="1">
    <i/>
  </colItems>
  <dataFields count="1">
    <dataField name="Sum of Salary" fld="5" baseField="0" baseItem="0" numFmtId="164"/>
  </dataFields>
  <formats count="1">
    <format dxfId="35">
      <pivotArea dataOnly="0" fieldPosition="0">
        <references count="1">
          <reference field="8"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C9F8D82-7FD6-4367-A6FA-8CD8BCF35C8D}" name="PivotTable1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6">
    <pivotField showAll="0"/>
    <pivotField showAll="0"/>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pivotField dataField="1" showAll="0"/>
    <pivotField showAll="0">
      <items count="7">
        <item x="0"/>
        <item x="4"/>
        <item x="5"/>
        <item x="3"/>
        <item x="1"/>
        <item x="2"/>
        <item t="default"/>
      </items>
    </pivotField>
    <pivotField showAll="0"/>
    <pivotField numFmtId="165"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of YearsExperience"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743638C-07B7-4817-8DE3-F76CC6267AB6}" name="PivotTable2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A31:B38" firstHeaderRow="1" firstDataRow="1" firstDataCol="1"/>
  <pivotFields count="16">
    <pivotField showAll="0"/>
    <pivotField showAll="0"/>
    <pivotField showAll="0"/>
    <pivotField axis="axisRow" showAll="0" sortType="descending">
      <items count="7">
        <item x="0"/>
        <item x="5"/>
        <item x="1"/>
        <item x="4"/>
        <item x="3"/>
        <item x="2"/>
        <item t="default"/>
      </items>
      <autoSortScope>
        <pivotArea dataOnly="0" outline="0" fieldPosition="0">
          <references count="1">
            <reference field="4294967294" count="1" selected="0">
              <x v="0"/>
            </reference>
          </references>
        </pivotArea>
      </autoSortScope>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dataField="1" showAll="0"/>
    <pivotField showAll="0">
      <items count="7">
        <item x="0"/>
        <item x="4"/>
        <item x="5"/>
        <item x="3"/>
        <item x="1"/>
        <item x="2"/>
        <item t="default"/>
      </items>
    </pivotField>
    <pivotField showAll="0"/>
    <pivotField numFmtId="165"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3"/>
  </rowFields>
  <rowItems count="7">
    <i>
      <x v="4"/>
    </i>
    <i>
      <x/>
    </i>
    <i>
      <x v="1"/>
    </i>
    <i>
      <x v="2"/>
    </i>
    <i>
      <x v="3"/>
    </i>
    <i>
      <x v="5"/>
    </i>
    <i t="grand">
      <x/>
    </i>
  </rowItems>
  <colItems count="1">
    <i/>
  </colItems>
  <dataFields count="1">
    <dataField name="Average of YearsExperience" fld="6" subtotal="average" baseField="3" baseItem="0"/>
  </dataFields>
  <formats count="2">
    <format dxfId="37">
      <pivotArea collapsedLevelsAreSubtotals="1" fieldPosition="0">
        <references count="1">
          <reference field="3" count="0"/>
        </references>
      </pivotArea>
    </format>
    <format dxfId="36">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1437D2B-42C1-48DE-8B97-01388C42644C}"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untry">
  <location ref="E49:F56" firstHeaderRow="1" firstDataRow="1" firstDataCol="1"/>
  <pivotFields count="16">
    <pivotField showAll="0"/>
    <pivotField showAll="0"/>
    <pivotField showAll="0"/>
    <pivotField showAll="0" sortType="descending">
      <items count="7">
        <item x="0"/>
        <item x="5"/>
        <item x="1"/>
        <item x="4"/>
        <item x="3"/>
        <item x="2"/>
        <item t="default"/>
      </items>
      <autoSortScope>
        <pivotArea dataOnly="0" outline="0" fieldPosition="0">
          <references count="1">
            <reference field="4294967294" count="1" selected="0">
              <x v="0"/>
            </reference>
          </references>
        </pivotArea>
      </autoSortScope>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showAll="0"/>
    <pivotField axis="axisRow" showAll="0" sortType="descending">
      <items count="7">
        <item x="0"/>
        <item x="4"/>
        <item x="5"/>
        <item x="3"/>
        <item x="1"/>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7"/>
  </rowFields>
  <rowItems count="7">
    <i>
      <x v="3"/>
    </i>
    <i>
      <x v="5"/>
    </i>
    <i>
      <x v="4"/>
    </i>
    <i>
      <x v="2"/>
    </i>
    <i>
      <x/>
    </i>
    <i>
      <x v="1"/>
    </i>
    <i t="grand">
      <x/>
    </i>
  </rowItems>
  <colItems count="1">
    <i/>
  </colItems>
  <dataFields count="1">
    <dataField name="Average of Salary" fld="5" subtotal="average" baseField="7" baseItem="0" numFmtId="164"/>
  </dataFields>
  <formats count="1">
    <format dxfId="38">
      <pivotArea collapsedLevelsAreSubtotals="1" fieldPosition="0">
        <references count="1">
          <reference field="7" count="0"/>
        </references>
      </pivotArea>
    </format>
  </formats>
  <chartFormats count="5">
    <chartFormat chart="3"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3DD629F-16C2-4E19-B8F2-A725C83169C8}"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A49:C56" firstHeaderRow="0" firstDataRow="1" firstDataCol="1"/>
  <pivotFields count="16">
    <pivotField showAll="0"/>
    <pivotField showAll="0"/>
    <pivotField showAll="0"/>
    <pivotField axis="axisRow" showAll="0" sortType="descending">
      <items count="7">
        <item x="0"/>
        <item x="5"/>
        <item x="1"/>
        <item x="4"/>
        <item x="3"/>
        <item x="2"/>
        <item t="default"/>
      </items>
      <autoSortScope>
        <pivotArea dataOnly="0" outline="0" fieldPosition="0">
          <references count="1">
            <reference field="4294967294" count="1" selected="0">
              <x v="1"/>
            </reference>
          </references>
        </pivotArea>
      </autoSortScope>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showAll="0"/>
    <pivotField showAll="0">
      <items count="7">
        <item x="0"/>
        <item x="4"/>
        <item x="5"/>
        <item x="3"/>
        <item x="1"/>
        <item x="2"/>
        <item t="default"/>
      </items>
    </pivotField>
    <pivotField showAll="0"/>
    <pivotField numFmtId="165"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3"/>
  </rowFields>
  <rowItems count="7">
    <i>
      <x v="2"/>
    </i>
    <i>
      <x/>
    </i>
    <i>
      <x v="5"/>
    </i>
    <i>
      <x v="3"/>
    </i>
    <i>
      <x v="1"/>
    </i>
    <i>
      <x v="4"/>
    </i>
    <i t="grand">
      <x/>
    </i>
  </rowItems>
  <colFields count="1">
    <field x="-2"/>
  </colFields>
  <colItems count="2">
    <i>
      <x/>
    </i>
    <i i="1">
      <x v="1"/>
    </i>
  </colItems>
  <dataFields count="2">
    <dataField name="Average of Salary" fld="5" subtotal="average" baseField="0" baseItem="0" numFmtId="164"/>
    <dataField name="Sum of Salary" fld="5" baseField="0" baseItem="0" numFmtId="164"/>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9793449-D94D-4194-B264-CEF62798FFCE}" name="PivotTable2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Department by Country">
  <location ref="E3:F25" firstHeaderRow="1" firstDataRow="1" firstDataCol="1"/>
  <pivotFields count="16">
    <pivotField dataField="1" showAll="0"/>
    <pivotField showAll="0"/>
    <pivotField showAll="0"/>
    <pivotField axis="axisRow"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showAll="0"/>
    <pivotField axis="axisRow" showAll="0">
      <items count="7">
        <item x="0"/>
        <item x="4"/>
        <item x="5"/>
        <item x="3"/>
        <item x="1"/>
        <item x="2"/>
        <item t="default"/>
      </items>
    </pivotField>
    <pivotField showAll="0">
      <items count="24">
        <item x="20"/>
        <item x="13"/>
        <item x="1"/>
        <item x="7"/>
        <item x="17"/>
        <item x="21"/>
        <item x="5"/>
        <item x="3"/>
        <item x="15"/>
        <item x="18"/>
        <item x="22"/>
        <item x="11"/>
        <item x="8"/>
        <item x="14"/>
        <item x="12"/>
        <item x="6"/>
        <item x="9"/>
        <item x="2"/>
        <item x="19"/>
        <item x="4"/>
        <item x="16"/>
        <item x="0"/>
        <item x="10"/>
        <item t="default"/>
      </items>
    </pivotField>
    <pivotField numFmtId="165"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2">
    <field x="7"/>
    <field x="3"/>
  </rowFields>
  <rowItems count="22">
    <i>
      <x/>
    </i>
    <i r="1">
      <x/>
    </i>
    <i r="1">
      <x v="1"/>
    </i>
    <i r="1">
      <x v="5"/>
    </i>
    <i>
      <x v="1"/>
    </i>
    <i r="1">
      <x v="2"/>
    </i>
    <i r="1">
      <x v="3"/>
    </i>
    <i>
      <x v="2"/>
    </i>
    <i r="1">
      <x v="3"/>
    </i>
    <i r="1">
      <x v="5"/>
    </i>
    <i>
      <x v="3"/>
    </i>
    <i r="1">
      <x/>
    </i>
    <i r="1">
      <x v="2"/>
    </i>
    <i>
      <x v="4"/>
    </i>
    <i r="1">
      <x v="2"/>
    </i>
    <i r="1">
      <x v="3"/>
    </i>
    <i r="1">
      <x v="5"/>
    </i>
    <i>
      <x v="5"/>
    </i>
    <i r="1">
      <x v="1"/>
    </i>
    <i r="1">
      <x v="2"/>
    </i>
    <i r="1">
      <x v="4"/>
    </i>
    <i t="grand">
      <x/>
    </i>
  </rowItems>
  <colItems count="1">
    <i/>
  </colItems>
  <dataFields count="1">
    <dataField name="Count of EmpID" fld="0" subtotal="count" baseField="0" baseItem="0"/>
  </dataField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CE38A63-F0FC-4EA6-82EC-5FF071A4DAC0}"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ity">
  <location ref="A85:B89" firstHeaderRow="1" firstDataRow="1" firstDataCol="1"/>
  <pivotFields count="16">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pivotField>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showAll="0"/>
    <pivotField showAll="0">
      <items count="7">
        <item x="0"/>
        <item x="4"/>
        <item x="5"/>
        <item x="3"/>
        <item x="1"/>
        <item x="2"/>
        <item t="default"/>
      </items>
    </pivotField>
    <pivotField axis="axisRow" showAll="0" measureFilter="1" sortType="descending">
      <items count="24">
        <item x="20"/>
        <item x="13"/>
        <item x="1"/>
        <item x="7"/>
        <item x="17"/>
        <item x="21"/>
        <item x="5"/>
        <item x="3"/>
        <item x="15"/>
        <item x="18"/>
        <item x="22"/>
        <item x="11"/>
        <item x="8"/>
        <item x="14"/>
        <item x="12"/>
        <item x="6"/>
        <item x="9"/>
        <item x="2"/>
        <item x="19"/>
        <item x="4"/>
        <item x="16"/>
        <item x="0"/>
        <item x="10"/>
        <item t="default"/>
      </items>
      <autoSortScope>
        <pivotArea dataOnly="0" outline="0" fieldPosition="0">
          <references count="1">
            <reference field="4294967294" count="1" selected="0">
              <x v="0"/>
            </reference>
          </references>
        </pivotArea>
      </autoSortScope>
    </pivotField>
    <pivotField numFmtId="165"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8"/>
  </rowFields>
  <rowItems count="4">
    <i>
      <x v="2"/>
    </i>
    <i>
      <x v="21"/>
    </i>
    <i>
      <x v="19"/>
    </i>
    <i t="grand">
      <x/>
    </i>
  </rowItems>
  <colItems count="1">
    <i/>
  </colItems>
  <dataFields count="1">
    <dataField name="Count of EmpID" fld="0" subtotal="count"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5DE9E94-D4CF-4272-9477-39255A10545F}"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
  <location ref="E73:F80" firstHeaderRow="1" firstDataRow="1" firstDataCol="1"/>
  <pivotFields count="16">
    <pivotField showAll="0"/>
    <pivotField showAll="0"/>
    <pivotField showAll="0"/>
    <pivotField axis="axisRow" showAll="0" sortType="descending">
      <items count="7">
        <item x="0"/>
        <item x="5"/>
        <item x="1"/>
        <item x="4"/>
        <item x="3"/>
        <item x="2"/>
        <item t="default"/>
      </items>
      <autoSortScope>
        <pivotArea dataOnly="0" outline="0" fieldPosition="0">
          <references count="1">
            <reference field="4294967294" count="1" selected="0">
              <x v="0"/>
            </reference>
          </references>
        </pivotArea>
      </autoSortScope>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showAll="0">
      <items count="31">
        <item x="2"/>
        <item x="11"/>
        <item x="17"/>
        <item x="23"/>
        <item x="19"/>
        <item x="8"/>
        <item x="15"/>
        <item x="4"/>
        <item x="21"/>
        <item x="28"/>
        <item x="10"/>
        <item x="6"/>
        <item x="20"/>
        <item x="13"/>
        <item x="24"/>
        <item x="26"/>
        <item x="12"/>
        <item x="16"/>
        <item x="5"/>
        <item x="27"/>
        <item x="14"/>
        <item x="25"/>
        <item x="3"/>
        <item x="7"/>
        <item x="29"/>
        <item x="0"/>
        <item x="9"/>
        <item x="22"/>
        <item x="1"/>
        <item x="18"/>
        <item t="default"/>
      </items>
    </pivotField>
    <pivotField showAll="0">
      <items count="7">
        <item x="0"/>
        <item x="4"/>
        <item x="5"/>
        <item x="3"/>
        <item x="1"/>
        <item x="2"/>
        <item t="default"/>
      </items>
    </pivotField>
    <pivotField showAll="0"/>
    <pivotField numFmtId="165" showAll="0"/>
    <pivotField dataField="1" showAll="0">
      <items count="3">
        <item x="0"/>
        <item x="1"/>
        <item t="default"/>
      </items>
    </pivotField>
    <pivotField showAll="0">
      <items count="3">
        <item x="0"/>
        <item x="1"/>
        <item t="default"/>
      </items>
    </pivotField>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3"/>
  </rowFields>
  <rowItems count="7">
    <i>
      <x v="2"/>
    </i>
    <i>
      <x/>
    </i>
    <i>
      <x v="5"/>
    </i>
    <i>
      <x v="3"/>
    </i>
    <i>
      <x v="1"/>
    </i>
    <i>
      <x v="4"/>
    </i>
    <i t="grand">
      <x/>
    </i>
  </rowItems>
  <colItems count="1">
    <i/>
  </colItems>
  <dataFields count="1">
    <dataField name="Count of Above10yearsofservice" fld="1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3B67710-0AE1-47E3-84B2-056CB25F4FDB}" name="PivotTable1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dataField="1" showAll="0"/>
    <pivotField showAll="0"/>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showAll="0"/>
    <pivotField showAll="0">
      <items count="7">
        <item x="0"/>
        <item x="4"/>
        <item x="5"/>
        <item x="3"/>
        <item x="1"/>
        <item x="2"/>
        <item t="default"/>
      </items>
    </pivotField>
    <pivotField showAll="0"/>
    <pivotField numFmtId="165"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F929C48-E2EF-4450-8DFB-3FD11E0D534F}" name="PivotTable2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ear">
  <location ref="E31:F43" firstHeaderRow="1" firstDataRow="1" firstDataCol="1"/>
  <pivotFields count="16">
    <pivotField dataField="1" showAll="0"/>
    <pivotField showAll="0"/>
    <pivotField showAll="0"/>
    <pivotField showAll="0">
      <items count="7">
        <item x="0"/>
        <item x="5"/>
        <item x="1"/>
        <item x="4"/>
        <item x="3"/>
        <item x="2"/>
        <item t="default"/>
      </items>
    </pivotField>
    <pivotField axis="axisRow"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showAll="0"/>
    <pivotField showAll="0">
      <items count="7">
        <item x="0"/>
        <item x="4"/>
        <item x="5"/>
        <item x="3"/>
        <item x="1"/>
        <item x="2"/>
        <item t="default"/>
      </items>
    </pivotField>
    <pivotField showAll="0"/>
    <pivotField numFmtId="165"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4">
    <field x="15"/>
    <field x="14"/>
    <field x="13"/>
    <field x="4"/>
  </rowFields>
  <rowItems count="12">
    <i>
      <x v="1"/>
    </i>
    <i>
      <x v="2"/>
    </i>
    <i>
      <x v="3"/>
    </i>
    <i>
      <x v="4"/>
    </i>
    <i>
      <x v="5"/>
    </i>
    <i>
      <x v="6"/>
    </i>
    <i>
      <x v="7"/>
    </i>
    <i>
      <x v="8"/>
    </i>
    <i>
      <x v="9"/>
    </i>
    <i>
      <x v="10"/>
    </i>
    <i>
      <x v="11"/>
    </i>
    <i t="grand">
      <x/>
    </i>
  </rowItems>
  <colItems count="1">
    <i/>
  </colItems>
  <dataFields count="1">
    <dataField name="Count of Emp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11107FE-A66B-42A0-964E-415355E5D0F4}"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s Of Experience">
  <location ref="A73:B75" firstHeaderRow="1" firstDataRow="1" firstDataCol="1"/>
  <pivotFields count="16">
    <pivotField dataField="1" showAll="0"/>
    <pivotField showAll="0"/>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showAll="0">
      <items count="31">
        <item x="2"/>
        <item x="11"/>
        <item x="17"/>
        <item x="23"/>
        <item x="19"/>
        <item x="8"/>
        <item x="15"/>
        <item x="4"/>
        <item x="21"/>
        <item x="28"/>
        <item x="10"/>
        <item x="6"/>
        <item x="20"/>
        <item x="13"/>
        <item x="24"/>
        <item x="26"/>
        <item x="12"/>
        <item x="16"/>
        <item x="5"/>
        <item x="27"/>
        <item x="14"/>
        <item x="25"/>
        <item x="3"/>
        <item x="7"/>
        <item x="29"/>
        <item x="0"/>
        <item x="9"/>
        <item x="22"/>
        <item x="1"/>
        <item x="18"/>
        <item t="default"/>
      </items>
    </pivotField>
    <pivotField showAll="0">
      <items count="7">
        <item x="0"/>
        <item x="4"/>
        <item x="5"/>
        <item x="3"/>
        <item x="1"/>
        <item x="2"/>
        <item t="default"/>
      </items>
    </pivotField>
    <pivotField showAll="0"/>
    <pivotField numFmtId="165" showAll="0"/>
    <pivotField showAll="0"/>
    <pivotField axis="axisRow" showAll="0">
      <items count="3">
        <item h="1" x="0"/>
        <item x="1"/>
        <item t="default"/>
      </items>
    </pivotField>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11"/>
  </rowFields>
  <rowItems count="2">
    <i>
      <x v="1"/>
    </i>
    <i t="grand">
      <x/>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6BD53E7-E264-423A-991C-8B1287A61FF5}" name="PivotTable2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6">
    <pivotField showAll="0"/>
    <pivotField showAll="0"/>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pivotField showAll="0"/>
    <pivotField showAll="0">
      <items count="7">
        <item x="0"/>
        <item x="4"/>
        <item x="5"/>
        <item x="3"/>
        <item x="1"/>
        <item x="2"/>
        <item t="default"/>
      </items>
    </pivotField>
    <pivotField showAll="0"/>
    <pivotField numFmtId="165"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Sum of Salary"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1EF76E4-3635-4930-B83D-A81E301F2309}" name="PivotTable1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6">
    <pivotField showAll="0"/>
    <pivotField showAll="0"/>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items count="31">
        <item x="23"/>
        <item x="11"/>
        <item x="10"/>
        <item x="21"/>
        <item x="15"/>
        <item x="26"/>
        <item x="6"/>
        <item x="20"/>
        <item x="0"/>
        <item x="27"/>
        <item x="16"/>
        <item x="18"/>
        <item x="9"/>
        <item x="24"/>
        <item x="2"/>
        <item x="5"/>
        <item x="29"/>
        <item x="13"/>
        <item x="19"/>
        <item x="1"/>
        <item x="14"/>
        <item x="8"/>
        <item x="4"/>
        <item x="28"/>
        <item x="12"/>
        <item x="3"/>
        <item x="17"/>
        <item x="25"/>
        <item x="7"/>
        <item x="22"/>
        <item t="default"/>
      </items>
    </pivotField>
    <pivotField showAll="0"/>
    <pivotField showAll="0">
      <items count="7">
        <item x="0"/>
        <item x="4"/>
        <item x="5"/>
        <item x="3"/>
        <item x="1"/>
        <item x="2"/>
        <item t="default"/>
      </items>
    </pivotField>
    <pivotField showAll="0"/>
    <pivotField numFmtId="165"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of Salary" fld="5" subtotal="average" baseField="0" baseItem="0" numFmtId="164"/>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DBDB7E8-F52D-4EBC-A3A9-AACAEAC5ED61}"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Full Name">
  <location ref="H49:I55" firstHeaderRow="1" firstDataRow="1" firstDataCol="1"/>
  <pivotFields count="16">
    <pivotField showAll="0"/>
    <pivotField axis="axisRow" showAll="0" measureFilter="1" sortType="descending">
      <items count="31">
        <item x="27"/>
        <item x="14"/>
        <item x="19"/>
        <item x="11"/>
        <item x="26"/>
        <item x="17"/>
        <item x="22"/>
        <item x="7"/>
        <item x="5"/>
        <item x="29"/>
        <item x="6"/>
        <item x="10"/>
        <item x="23"/>
        <item x="21"/>
        <item x="18"/>
        <item x="13"/>
        <item x="16"/>
        <item x="3"/>
        <item x="2"/>
        <item x="1"/>
        <item x="28"/>
        <item x="0"/>
        <item x="20"/>
        <item x="24"/>
        <item x="15"/>
        <item x="12"/>
        <item x="8"/>
        <item x="25"/>
        <item x="4"/>
        <item x="9"/>
        <item t="default"/>
      </items>
      <autoSortScope>
        <pivotArea dataOnly="0" outline="0" fieldPosition="0">
          <references count="1">
            <reference field="4294967294" count="1" selected="0">
              <x v="0"/>
            </reference>
          </references>
        </pivotArea>
      </autoSortScope>
    </pivotField>
    <pivotField showAll="0"/>
    <pivotField showAll="0">
      <items count="7">
        <item x="0"/>
        <item x="5"/>
        <item x="1"/>
        <item x="4"/>
        <item x="3"/>
        <item x="2"/>
        <item t="default"/>
      </items>
    </pivotField>
    <pivotField numFmtId="14" showAll="0">
      <items count="31">
        <item x="0"/>
        <item x="22"/>
        <item x="18"/>
        <item x="9"/>
        <item x="29"/>
        <item x="7"/>
        <item x="25"/>
        <item x="14"/>
        <item x="16"/>
        <item x="27"/>
        <item x="5"/>
        <item x="26"/>
        <item x="3"/>
        <item x="12"/>
        <item x="20"/>
        <item x="24"/>
        <item x="13"/>
        <item x="6"/>
        <item x="10"/>
        <item x="21"/>
        <item x="1"/>
        <item x="28"/>
        <item x="8"/>
        <item x="15"/>
        <item x="23"/>
        <item x="2"/>
        <item x="4"/>
        <item x="19"/>
        <item x="11"/>
        <item x="17"/>
        <item t="default"/>
      </items>
    </pivotField>
    <pivotField dataField="1" numFmtId="164" showAll="0"/>
    <pivotField showAll="0"/>
    <pivotField showAll="0">
      <items count="7">
        <item x="0"/>
        <item x="4"/>
        <item x="5"/>
        <item x="3"/>
        <item x="1"/>
        <item x="2"/>
        <item t="default"/>
      </items>
    </pivotField>
    <pivotField showAll="0"/>
    <pivotField numFmtId="165"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1"/>
  </rowFields>
  <rowItems count="6">
    <i>
      <x v="6"/>
    </i>
    <i>
      <x v="7"/>
    </i>
    <i>
      <x v="27"/>
    </i>
    <i>
      <x v="5"/>
    </i>
    <i>
      <x v="17"/>
    </i>
    <i t="grand">
      <x/>
    </i>
  </rowItems>
  <colItems count="1">
    <i/>
  </colItems>
  <dataFields count="1">
    <dataField name="Sum of Salary" fld="5" baseField="0" baseItem="0" numFmtId="164"/>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7C879C6-E011-4E5E-AFD3-E329213F84CF}" sourceName="Country">
  <pivotTables>
    <pivotTable tabId="7" name="PivotTable21"/>
    <pivotTable tabId="7" name="PivotTable1"/>
    <pivotTable tabId="7" name="PivotTable17"/>
    <pivotTable tabId="7" name="PivotTable18"/>
    <pivotTable tabId="7" name="PivotTable19"/>
    <pivotTable tabId="7" name="PivotTable2"/>
    <pivotTable tabId="7" name="PivotTable20"/>
    <pivotTable tabId="7" name="PivotTable22"/>
    <pivotTable tabId="7" name="PivotTable23"/>
    <pivotTable tabId="7" name="PivotTable4"/>
    <pivotTable tabId="7" name="PivotTable5"/>
    <pivotTable tabId="7" name="PivotTable6"/>
    <pivotTable tabId="7" name="PivotTable7"/>
    <pivotTable tabId="7" name="PivotTable8"/>
  </pivotTables>
  <data>
    <tabular pivotCacheId="2053251995">
      <items count="6">
        <i x="0" s="1"/>
        <i x="4" s="1"/>
        <i x="5"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E81682C-90B3-4165-8177-DE5E0FEA4FD5}" sourceName="Department">
  <pivotTables>
    <pivotTable tabId="7" name="PivotTable21"/>
    <pivotTable tabId="7" name="PivotTable1"/>
    <pivotTable tabId="7" name="PivotTable17"/>
    <pivotTable tabId="7" name="PivotTable18"/>
    <pivotTable tabId="7" name="PivotTable19"/>
    <pivotTable tabId="7" name="PivotTable2"/>
    <pivotTable tabId="7" name="PivotTable20"/>
    <pivotTable tabId="7" name="PivotTable22"/>
    <pivotTable tabId="7" name="PivotTable23"/>
    <pivotTable tabId="7" name="PivotTable4"/>
    <pivotTable tabId="7" name="PivotTable5"/>
    <pivotTable tabId="7" name="PivotTable6"/>
    <pivotTable tabId="7" name="PivotTable7"/>
    <pivotTable tabId="7" name="PivotTable8"/>
  </pivotTables>
  <data>
    <tabular pivotCacheId="2053251995">
      <items count="6">
        <i x="0" s="1"/>
        <i x="5" s="1"/>
        <i x="1" s="1"/>
        <i x="4" s="1"/>
        <i x="3"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6E8D0FA-EFAA-490D-ADBE-10FB8B44F300}" cache="Slicer_Country" caption="Country" showCaption="0" rowHeight="241300"/>
  <slicer name="Department" xr10:uid="{8C9B90E6-337F-4C3E-93EF-453B320B5870}" cache="Slicer_Department" caption="Department"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5CF090-F5A1-4038-9A88-D6AEA6042BF7}" name="Table1" displayName="Table1" ref="A1:M31" totalsRowShown="0">
  <autoFilter ref="A1:M31" xr:uid="{2D5CF090-F5A1-4038-9A88-D6AEA6042BF7}"/>
  <sortState xmlns:xlrd2="http://schemas.microsoft.com/office/spreadsheetml/2017/richdata2" ref="A3:M31">
    <sortCondition descending="1" ref="G1:G31"/>
  </sortState>
  <tableColumns count="13">
    <tableColumn id="1" xr3:uid="{BBEEDAD5-A567-45E6-A5AF-C49F442902A9}" name="EmpID"/>
    <tableColumn id="2" xr3:uid="{023C5B11-1E2F-45A1-A072-7865D37BF107}" name="FullName"/>
    <tableColumn id="3" xr3:uid="{D69B9ABC-F32C-49CB-A8AA-0E71EA6DDD80}" name="JobTitle"/>
    <tableColumn id="4" xr3:uid="{35AEAAC6-75A0-41C9-8358-A842E1FA7D34}" name="Department"/>
    <tableColumn id="5" xr3:uid="{D5219F31-AE18-4C4A-99AE-CB5C88F6123D}" name="HireDate" dataDxfId="45"/>
    <tableColumn id="6" xr3:uid="{D59319D3-7AAD-426F-B080-97F08BFE7841}" name="Salary" dataDxfId="44"/>
    <tableColumn id="7" xr3:uid="{861F510B-72AE-416F-A01A-A01A7A4ABAA3}" name="YearsExperience"/>
    <tableColumn id="8" xr3:uid="{96C9FFDE-AC36-4B07-A10A-24F47F0CFB74}" name="Country"/>
    <tableColumn id="9" xr3:uid="{FCCCC096-D01D-4E78-BF4F-CCCBA8F09D57}" name="City"/>
    <tableColumn id="10" xr3:uid="{87942E61-9D2C-4112-A445-0251D77B6DE5}" name="YearsofService" dataDxfId="43">
      <calculatedColumnFormula>DATEDIF(Table1[[#This Row],[HireDate]], TODAY(), "Y") + DATEDIF(Table1[[#This Row],[HireDate]], TODAY(), "YM")/12</calculatedColumnFormula>
    </tableColumn>
    <tableColumn id="12" xr3:uid="{7B9061B8-2902-4AF9-A0EB-6C9CB5AF4476}" name="Above10yearsofservice" dataDxfId="42">
      <calculatedColumnFormula>IF(Table1[[#This Row],[YearsofService]]&gt;10,"Above 10 years","Below 10 years")</calculatedColumnFormula>
    </tableColumn>
    <tableColumn id="13" xr3:uid="{E9C4B679-6DC0-4723-B684-36CFFAA07B02}" name="Less Than 3 Years" dataDxfId="41">
      <calculatedColumnFormula>IF(Table1[[#This Row],[YearsExperience]]&lt;3,"Less than 3 Years","3 Years and Above")</calculatedColumnFormula>
    </tableColumn>
    <tableColumn id="11" xr3:uid="{031C4429-0750-4F47-9533-79A29B208DC7}" name="Class" dataDxfId="40">
      <calculatedColumnFormula>IF(Table1[[#This Row],[Salary]] &gt; AVERAGEIFS(Table1[Salary],Table1[Department],Table1[[#This Row],[Department]]), "High Class", "Normal")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eDate" xr10:uid="{CC6E2087-786C-4A7C-9425-45F12BD2F16E}" sourceName="HireDate">
  <pivotTables>
    <pivotTable tabId="7" name="PivotTable21"/>
  </pivotTables>
  <state minimalRefreshVersion="6" lastRefreshVersion="6" pivotCacheId="2053251995" filterType="unknown">
    <bounds startDate="201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Date" xr10:uid="{CC93D465-2310-4E69-9CF4-7E1620216A07}" cache="NativeTimeline_HireDate" caption="HireDate" showHeader="0" showSelectionLabel="0" showTimeLevel="0" level="0" selectionLevel="0" scrollPosition="2019-04-2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pivotTable" Target="../pivotTables/pivotTable26.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pivotTable" Target="../pivotTables/pivotTable25.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 Id="rId14" Type="http://schemas.openxmlformats.org/officeDocument/2006/relationships/pivotTable" Target="../pivotTables/pivotTable27.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4FCCF-C832-44F2-A2BF-06DE76457140}">
  <dimension ref="A1:A31"/>
  <sheetViews>
    <sheetView workbookViewId="0">
      <selection sqref="A1:A1048576"/>
    </sheetView>
  </sheetViews>
  <sheetFormatPr defaultRowHeight="15" x14ac:dyDescent="0.25"/>
  <cols>
    <col min="1" max="1" width="84.140625" bestFit="1"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27</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13</v>
      </c>
    </row>
    <row r="16" spans="1:1" x14ac:dyDescent="0.25">
      <c r="A16" t="s">
        <v>14</v>
      </c>
    </row>
    <row r="17" spans="1:1" x14ac:dyDescent="0.25">
      <c r="A17" t="s">
        <v>15</v>
      </c>
    </row>
    <row r="18" spans="1:1" x14ac:dyDescent="0.25">
      <c r="A18" t="s">
        <v>16</v>
      </c>
    </row>
    <row r="19" spans="1:1" x14ac:dyDescent="0.25">
      <c r="A19" t="s">
        <v>17</v>
      </c>
    </row>
    <row r="20" spans="1:1" x14ac:dyDescent="0.25">
      <c r="A20" t="s">
        <v>18</v>
      </c>
    </row>
    <row r="21" spans="1:1" x14ac:dyDescent="0.25">
      <c r="A21" t="s">
        <v>19</v>
      </c>
    </row>
    <row r="22" spans="1:1" x14ac:dyDescent="0.25">
      <c r="A22" t="s">
        <v>20</v>
      </c>
    </row>
    <row r="23" spans="1:1" x14ac:dyDescent="0.25">
      <c r="A23" t="s">
        <v>30</v>
      </c>
    </row>
    <row r="24" spans="1:1" x14ac:dyDescent="0.25">
      <c r="A24" t="s">
        <v>28</v>
      </c>
    </row>
    <row r="25" spans="1:1" x14ac:dyDescent="0.25">
      <c r="A25" t="s">
        <v>21</v>
      </c>
    </row>
    <row r="26" spans="1:1" x14ac:dyDescent="0.25">
      <c r="A26" t="s">
        <v>22</v>
      </c>
    </row>
    <row r="27" spans="1:1" x14ac:dyDescent="0.25">
      <c r="A27" t="s">
        <v>23</v>
      </c>
    </row>
    <row r="28" spans="1:1" x14ac:dyDescent="0.25">
      <c r="A28" t="s">
        <v>24</v>
      </c>
    </row>
    <row r="29" spans="1:1" x14ac:dyDescent="0.25">
      <c r="A29" t="s">
        <v>25</v>
      </c>
    </row>
    <row r="30" spans="1:1" x14ac:dyDescent="0.25">
      <c r="A30" t="s">
        <v>26</v>
      </c>
    </row>
    <row r="31" spans="1:1" x14ac:dyDescent="0.25">
      <c r="A31"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0D00B-B976-475E-9B7F-F8317FA8E6AF}">
  <dimension ref="A1:CD57"/>
  <sheetViews>
    <sheetView topLeftCell="BW1" workbookViewId="0">
      <selection sqref="A1:A1048576"/>
    </sheetView>
  </sheetViews>
  <sheetFormatPr defaultRowHeight="15" x14ac:dyDescent="0.25"/>
  <cols>
    <col min="1" max="1" width="14.85546875" bestFit="1" customWidth="1"/>
    <col min="2" max="2" width="16.28515625" bestFit="1" customWidth="1"/>
    <col min="3" max="4" width="11.28515625" bestFit="1" customWidth="1"/>
    <col min="8" max="8" width="13.140625" bestFit="1" customWidth="1"/>
    <col min="9" max="9" width="26.28515625" bestFit="1" customWidth="1"/>
    <col min="10" max="10" width="14.28515625" bestFit="1" customWidth="1"/>
    <col min="11" max="11" width="11.28515625" bestFit="1" customWidth="1"/>
    <col min="13" max="13" width="13.140625" bestFit="1" customWidth="1"/>
    <col min="14" max="14" width="16.42578125" bestFit="1" customWidth="1"/>
    <col min="17" max="17" width="18.7109375" bestFit="1" customWidth="1"/>
    <col min="18" max="18" width="16.28515625" bestFit="1" customWidth="1"/>
    <col min="19" max="20" width="11.28515625" bestFit="1" customWidth="1"/>
    <col min="21" max="21" width="10.140625" bestFit="1" customWidth="1"/>
    <col min="22" max="22" width="16.85546875" bestFit="1" customWidth="1"/>
    <col min="23" max="23" width="14.85546875" bestFit="1" customWidth="1"/>
    <col min="24" max="24" width="16.28515625" bestFit="1" customWidth="1"/>
    <col min="25" max="25" width="5.28515625" bestFit="1" customWidth="1"/>
    <col min="26" max="26" width="6.28515625" bestFit="1" customWidth="1"/>
    <col min="27" max="27" width="7.85546875" bestFit="1" customWidth="1"/>
    <col min="28" max="28" width="7.42578125" bestFit="1" customWidth="1"/>
    <col min="29" max="29" width="9.85546875" bestFit="1" customWidth="1"/>
    <col min="30" max="30" width="11.5703125" bestFit="1" customWidth="1"/>
    <col min="31" max="31" width="8.28515625" bestFit="1" customWidth="1"/>
    <col min="32" max="32" width="7.140625" bestFit="1" customWidth="1"/>
    <col min="33" max="33" width="6.7109375" bestFit="1" customWidth="1"/>
    <col min="34" max="34" width="5.140625" bestFit="1" customWidth="1"/>
    <col min="35" max="35" width="9.28515625" bestFit="1" customWidth="1"/>
    <col min="36" max="36" width="6.7109375" bestFit="1" customWidth="1"/>
    <col min="37" max="37" width="9.5703125" bestFit="1" customWidth="1"/>
    <col min="38" max="38" width="8.42578125" bestFit="1" customWidth="1"/>
    <col min="39" max="39" width="5.7109375" bestFit="1" customWidth="1"/>
    <col min="40" max="40" width="7.42578125" bestFit="1" customWidth="1"/>
    <col min="41" max="41" width="9" bestFit="1" customWidth="1"/>
    <col min="42" max="42" width="12.7109375" bestFit="1" customWidth="1"/>
    <col min="43" max="43" width="10.5703125" bestFit="1" customWidth="1"/>
    <col min="44" max="44" width="10.42578125" bestFit="1" customWidth="1"/>
    <col min="45" max="45" width="9.28515625" bestFit="1" customWidth="1"/>
    <col min="46" max="46" width="7.5703125" bestFit="1" customWidth="1"/>
    <col min="47" max="48" width="11.28515625" bestFit="1" customWidth="1"/>
    <col min="50" max="50" width="14.85546875" bestFit="1" customWidth="1"/>
    <col min="51" max="51" width="16.28515625" bestFit="1" customWidth="1"/>
    <col min="52" max="52" width="3.42578125" bestFit="1" customWidth="1"/>
    <col min="53" max="53" width="2.5703125" bestFit="1" customWidth="1"/>
    <col min="54" max="54" width="10.140625" bestFit="1" customWidth="1"/>
    <col min="55" max="55" width="10.85546875" bestFit="1" customWidth="1"/>
    <col min="56" max="56" width="5.5703125" bestFit="1" customWidth="1"/>
    <col min="57" max="57" width="11.28515625" bestFit="1" customWidth="1"/>
    <col min="61" max="61" width="16.42578125" bestFit="1" customWidth="1"/>
    <col min="62" max="62" width="17.85546875" bestFit="1" customWidth="1"/>
    <col min="63" max="63" width="11.28515625" bestFit="1" customWidth="1"/>
    <col min="64" max="64" width="16.42578125" bestFit="1" customWidth="1"/>
    <col min="65" max="65" width="17.85546875" bestFit="1" customWidth="1"/>
    <col min="66" max="66" width="11.28515625" bestFit="1" customWidth="1"/>
    <col min="67" max="67" width="16.42578125" bestFit="1" customWidth="1"/>
    <col min="68" max="68" width="17.85546875" bestFit="1" customWidth="1"/>
    <col min="69" max="69" width="11.28515625" bestFit="1" customWidth="1"/>
    <col min="70" max="70" width="21" bestFit="1" customWidth="1"/>
    <col min="71" max="71" width="16.42578125" bestFit="1" customWidth="1"/>
    <col min="72" max="72" width="22.7109375" bestFit="1" customWidth="1"/>
    <col min="73" max="73" width="21" bestFit="1" customWidth="1"/>
    <col min="74" max="74" width="12.85546875" bestFit="1" customWidth="1"/>
    <col min="75" max="76" width="11.28515625" bestFit="1" customWidth="1"/>
    <col min="77" max="77" width="21" bestFit="1" customWidth="1"/>
    <col min="78" max="78" width="14" bestFit="1" customWidth="1"/>
    <col min="79" max="79" width="11.28515625" bestFit="1" customWidth="1"/>
    <col min="80" max="80" width="12.28515625" bestFit="1" customWidth="1"/>
    <col min="81" max="81" width="21.140625" bestFit="1" customWidth="1"/>
    <col min="82" max="82" width="16.140625" bestFit="1" customWidth="1"/>
    <col min="83" max="91" width="12.28515625" bestFit="1" customWidth="1"/>
    <col min="92" max="92" width="12.42578125" bestFit="1" customWidth="1"/>
  </cols>
  <sheetData>
    <row r="1" spans="1:82" x14ac:dyDescent="0.25">
      <c r="BI1" s="4" t="s">
        <v>37</v>
      </c>
      <c r="BJ1" s="7" t="s">
        <v>197</v>
      </c>
      <c r="BL1" s="4" t="s">
        <v>37</v>
      </c>
      <c r="BM1" s="7" t="s">
        <v>197</v>
      </c>
      <c r="BO1" s="4" t="s">
        <v>37</v>
      </c>
      <c r="BP1" s="7" t="s">
        <v>197</v>
      </c>
    </row>
    <row r="2" spans="1:82" x14ac:dyDescent="0.25">
      <c r="A2" t="s">
        <v>160</v>
      </c>
      <c r="H2" t="s">
        <v>161</v>
      </c>
      <c r="M2" t="s">
        <v>162</v>
      </c>
      <c r="Q2" t="s">
        <v>165</v>
      </c>
      <c r="W2" t="s">
        <v>167</v>
      </c>
      <c r="AX2" t="s">
        <v>168</v>
      </c>
      <c r="BI2" t="s">
        <v>195</v>
      </c>
      <c r="BL2" t="s">
        <v>195</v>
      </c>
      <c r="BO2" t="s">
        <v>195</v>
      </c>
      <c r="BR2" t="s">
        <v>201</v>
      </c>
      <c r="BU2" t="s">
        <v>202</v>
      </c>
      <c r="BY2" t="s">
        <v>203</v>
      </c>
      <c r="CC2" t="s">
        <v>204</v>
      </c>
    </row>
    <row r="3" spans="1:82" x14ac:dyDescent="0.25">
      <c r="B3" s="4" t="s">
        <v>192</v>
      </c>
      <c r="H3" s="4" t="s">
        <v>34</v>
      </c>
      <c r="I3" t="s">
        <v>172</v>
      </c>
      <c r="M3" s="4" t="s">
        <v>34</v>
      </c>
      <c r="N3" t="s">
        <v>169</v>
      </c>
      <c r="R3" s="4" t="s">
        <v>192</v>
      </c>
      <c r="W3" s="4" t="s">
        <v>171</v>
      </c>
      <c r="X3" s="4" t="s">
        <v>192</v>
      </c>
      <c r="AX3" s="4" t="s">
        <v>171</v>
      </c>
      <c r="AY3" s="4" t="s">
        <v>192</v>
      </c>
      <c r="BI3" t="s">
        <v>169</v>
      </c>
      <c r="BL3" t="s">
        <v>169</v>
      </c>
      <c r="BO3" t="s">
        <v>169</v>
      </c>
      <c r="BR3" s="4" t="s">
        <v>196</v>
      </c>
      <c r="BS3" t="s">
        <v>169</v>
      </c>
      <c r="BU3" s="4" t="s">
        <v>193</v>
      </c>
      <c r="BV3" t="s">
        <v>163</v>
      </c>
      <c r="BY3" s="4" t="s">
        <v>34</v>
      </c>
      <c r="BZ3" t="s">
        <v>163</v>
      </c>
      <c r="CC3" s="4" t="s">
        <v>196</v>
      </c>
      <c r="CD3" t="s">
        <v>205</v>
      </c>
    </row>
    <row r="4" spans="1:82" x14ac:dyDescent="0.25">
      <c r="A4" s="4" t="s">
        <v>193</v>
      </c>
      <c r="B4" t="s">
        <v>190</v>
      </c>
      <c r="C4" t="s">
        <v>159</v>
      </c>
      <c r="H4" s="13" t="s">
        <v>59</v>
      </c>
      <c r="I4" s="14">
        <v>13</v>
      </c>
      <c r="M4" s="5" t="s">
        <v>43</v>
      </c>
      <c r="N4" s="2">
        <v>91752.645999999993</v>
      </c>
      <c r="Q4" s="4" t="s">
        <v>34</v>
      </c>
      <c r="R4" t="s">
        <v>194</v>
      </c>
      <c r="S4" t="s">
        <v>159</v>
      </c>
      <c r="W4" s="4" t="s">
        <v>38</v>
      </c>
      <c r="X4" t="s">
        <v>45</v>
      </c>
      <c r="Y4" t="s">
        <v>75</v>
      </c>
      <c r="Z4" t="s">
        <v>51</v>
      </c>
      <c r="AA4" t="s">
        <v>79</v>
      </c>
      <c r="AB4" t="s">
        <v>150</v>
      </c>
      <c r="AC4" t="s">
        <v>116</v>
      </c>
      <c r="AD4" t="s">
        <v>122</v>
      </c>
      <c r="AE4" t="s">
        <v>153</v>
      </c>
      <c r="AF4" t="s">
        <v>92</v>
      </c>
      <c r="AG4" t="s">
        <v>110</v>
      </c>
      <c r="AH4" t="s">
        <v>96</v>
      </c>
      <c r="AI4" t="s">
        <v>88</v>
      </c>
      <c r="AJ4" t="s">
        <v>136</v>
      </c>
      <c r="AK4" t="s">
        <v>61</v>
      </c>
      <c r="AL4" t="s">
        <v>100</v>
      </c>
      <c r="AM4" t="s">
        <v>66</v>
      </c>
      <c r="AN4" t="s">
        <v>146</v>
      </c>
      <c r="AO4" t="s">
        <v>128</v>
      </c>
      <c r="AP4" t="s">
        <v>132</v>
      </c>
      <c r="AQ4" t="s">
        <v>139</v>
      </c>
      <c r="AR4" t="s">
        <v>103</v>
      </c>
      <c r="AS4" t="s">
        <v>157</v>
      </c>
      <c r="AT4" t="s">
        <v>106</v>
      </c>
      <c r="AU4" t="s">
        <v>159</v>
      </c>
      <c r="AX4" s="4" t="s">
        <v>38</v>
      </c>
      <c r="AY4" t="s">
        <v>43</v>
      </c>
      <c r="AZ4" t="s">
        <v>87</v>
      </c>
      <c r="BA4" t="s">
        <v>49</v>
      </c>
      <c r="BB4" t="s">
        <v>73</v>
      </c>
      <c r="BC4" t="s">
        <v>59</v>
      </c>
      <c r="BD4" t="s">
        <v>55</v>
      </c>
      <c r="BE4" t="s">
        <v>159</v>
      </c>
      <c r="BI4" s="2">
        <v>109394.64444444446</v>
      </c>
      <c r="BL4" s="2">
        <v>89664.131818181821</v>
      </c>
      <c r="BO4" s="2">
        <v>93047.794999999998</v>
      </c>
      <c r="BR4" s="5" t="s">
        <v>190</v>
      </c>
      <c r="BS4" s="2">
        <v>102866.52800000001</v>
      </c>
      <c r="BU4" s="5" t="s">
        <v>130</v>
      </c>
      <c r="BV4" s="2">
        <v>134800.95000000001</v>
      </c>
      <c r="BY4" s="13" t="s">
        <v>49</v>
      </c>
      <c r="BZ4" s="15">
        <v>1019641.2199999999</v>
      </c>
      <c r="CC4" s="13" t="s">
        <v>54</v>
      </c>
      <c r="CD4" s="14">
        <v>3</v>
      </c>
    </row>
    <row r="5" spans="1:82" x14ac:dyDescent="0.25">
      <c r="A5" s="5" t="s">
        <v>148</v>
      </c>
      <c r="H5" s="5" t="s">
        <v>43</v>
      </c>
      <c r="I5" s="12">
        <v>10.559999999999999</v>
      </c>
      <c r="M5" s="5" t="s">
        <v>87</v>
      </c>
      <c r="N5" s="2">
        <v>80025.5625</v>
      </c>
      <c r="Q5" s="5" t="s">
        <v>43</v>
      </c>
      <c r="W5" s="5" t="s">
        <v>60</v>
      </c>
      <c r="X5" s="12"/>
      <c r="Y5" s="12"/>
      <c r="Z5" s="12"/>
      <c r="AA5" s="12">
        <v>2</v>
      </c>
      <c r="AB5" s="12">
        <v>1</v>
      </c>
      <c r="AC5" s="12"/>
      <c r="AD5" s="12"/>
      <c r="AE5" s="12"/>
      <c r="AF5" s="12">
        <v>1</v>
      </c>
      <c r="AG5" s="12">
        <v>1</v>
      </c>
      <c r="AH5" s="12"/>
      <c r="AI5" s="12"/>
      <c r="AJ5" s="12"/>
      <c r="AK5" s="12">
        <v>1</v>
      </c>
      <c r="AL5" s="12"/>
      <c r="AM5" s="12"/>
      <c r="AN5" s="12"/>
      <c r="AO5" s="12"/>
      <c r="AP5" s="12">
        <v>1</v>
      </c>
      <c r="AQ5" s="12"/>
      <c r="AR5" s="12"/>
      <c r="AS5" s="12"/>
      <c r="AT5" s="12"/>
      <c r="AU5" s="12">
        <v>7</v>
      </c>
      <c r="AX5" s="5" t="s">
        <v>44</v>
      </c>
      <c r="AY5" s="12">
        <v>4</v>
      </c>
      <c r="AZ5" s="12">
        <v>1</v>
      </c>
      <c r="BA5" s="12"/>
      <c r="BB5" s="12"/>
      <c r="BC5" s="12"/>
      <c r="BD5" s="12">
        <v>2</v>
      </c>
      <c r="BE5" s="12">
        <v>7</v>
      </c>
      <c r="BI5" t="s">
        <v>198</v>
      </c>
      <c r="BL5" t="s">
        <v>199</v>
      </c>
      <c r="BO5" t="s">
        <v>200</v>
      </c>
      <c r="BR5" s="5" t="s">
        <v>191</v>
      </c>
      <c r="BS5" s="2">
        <v>93633.496000000014</v>
      </c>
      <c r="BU5" s="5" t="s">
        <v>77</v>
      </c>
      <c r="BV5" s="2">
        <v>134200</v>
      </c>
      <c r="BY5" s="5" t="s">
        <v>43</v>
      </c>
      <c r="BZ5" s="2">
        <v>458763.23</v>
      </c>
      <c r="CC5" s="19" t="s">
        <v>105</v>
      </c>
      <c r="CD5" s="14">
        <v>1</v>
      </c>
    </row>
    <row r="6" spans="1:82" x14ac:dyDescent="0.25">
      <c r="A6" s="5" t="s">
        <v>105</v>
      </c>
      <c r="H6" s="5" t="s">
        <v>87</v>
      </c>
      <c r="I6" s="12">
        <v>8.75</v>
      </c>
      <c r="M6" s="5" t="s">
        <v>49</v>
      </c>
      <c r="N6" s="2">
        <v>113293.46888888888</v>
      </c>
      <c r="Q6" s="6" t="s">
        <v>68</v>
      </c>
      <c r="W6" s="5" t="s">
        <v>44</v>
      </c>
      <c r="X6" s="12">
        <v>3</v>
      </c>
      <c r="Y6" s="12"/>
      <c r="Z6" s="12">
        <v>1</v>
      </c>
      <c r="AA6" s="12"/>
      <c r="AB6" s="12"/>
      <c r="AC6" s="12"/>
      <c r="AD6" s="12"/>
      <c r="AE6" s="12"/>
      <c r="AF6" s="12"/>
      <c r="AG6" s="12"/>
      <c r="AH6" s="12"/>
      <c r="AI6" s="12">
        <v>1</v>
      </c>
      <c r="AJ6" s="12"/>
      <c r="AK6" s="12"/>
      <c r="AL6" s="12"/>
      <c r="AM6" s="12"/>
      <c r="AN6" s="12">
        <v>1</v>
      </c>
      <c r="AO6" s="12"/>
      <c r="AP6" s="12"/>
      <c r="AQ6" s="12"/>
      <c r="AR6" s="12">
        <v>1</v>
      </c>
      <c r="AS6" s="12"/>
      <c r="AT6" s="12"/>
      <c r="AU6" s="12">
        <v>7</v>
      </c>
      <c r="AX6" s="5" t="s">
        <v>74</v>
      </c>
      <c r="AY6" s="12"/>
      <c r="AZ6" s="12"/>
      <c r="BA6" s="12">
        <v>1</v>
      </c>
      <c r="BB6" s="12">
        <v>3</v>
      </c>
      <c r="BC6" s="12"/>
      <c r="BD6" s="12"/>
      <c r="BE6" s="12">
        <v>4</v>
      </c>
      <c r="BR6" s="5" t="s">
        <v>159</v>
      </c>
      <c r="BS6" s="2">
        <v>96711.17333333334</v>
      </c>
      <c r="BU6" s="5" t="s">
        <v>141</v>
      </c>
      <c r="BV6" s="2">
        <v>128300.2</v>
      </c>
      <c r="BY6" s="5" t="s">
        <v>55</v>
      </c>
      <c r="BZ6" s="2">
        <v>451525.25</v>
      </c>
      <c r="CC6" s="19" t="s">
        <v>53</v>
      </c>
      <c r="CD6" s="14">
        <v>1</v>
      </c>
    </row>
    <row r="7" spans="1:82" x14ac:dyDescent="0.25">
      <c r="A7" s="5" t="s">
        <v>130</v>
      </c>
      <c r="H7" s="5" t="s">
        <v>49</v>
      </c>
      <c r="I7" s="12">
        <v>7.5333333333333332</v>
      </c>
      <c r="M7" s="5" t="s">
        <v>73</v>
      </c>
      <c r="N7" s="2">
        <v>78200.459999999992</v>
      </c>
      <c r="Q7" s="6" t="s">
        <v>102</v>
      </c>
      <c r="W7" s="5" t="s">
        <v>50</v>
      </c>
      <c r="X7" s="12"/>
      <c r="Y7" s="12"/>
      <c r="Z7" s="12">
        <v>1</v>
      </c>
      <c r="AA7" s="12"/>
      <c r="AB7" s="12"/>
      <c r="AC7" s="12"/>
      <c r="AD7" s="12">
        <v>1</v>
      </c>
      <c r="AE7" s="12"/>
      <c r="AF7" s="12"/>
      <c r="AG7" s="12"/>
      <c r="AH7" s="12"/>
      <c r="AI7" s="12"/>
      <c r="AJ7" s="12">
        <v>1</v>
      </c>
      <c r="AK7" s="12"/>
      <c r="AL7" s="12"/>
      <c r="AM7" s="12"/>
      <c r="AN7" s="12"/>
      <c r="AO7" s="12"/>
      <c r="AP7" s="12"/>
      <c r="AQ7" s="12"/>
      <c r="AR7" s="12"/>
      <c r="AS7" s="12">
        <v>1</v>
      </c>
      <c r="AT7" s="12">
        <v>1</v>
      </c>
      <c r="AU7" s="12">
        <v>5</v>
      </c>
      <c r="AX7" s="5" t="s">
        <v>83</v>
      </c>
      <c r="AY7" s="12"/>
      <c r="AZ7" s="12"/>
      <c r="BA7" s="12"/>
      <c r="BB7" s="12">
        <v>1</v>
      </c>
      <c r="BC7" s="12"/>
      <c r="BD7" s="12">
        <v>1</v>
      </c>
      <c r="BE7" s="12">
        <v>2</v>
      </c>
      <c r="BU7" s="5" t="s">
        <v>115</v>
      </c>
      <c r="BV7" s="2">
        <v>125700.85</v>
      </c>
      <c r="BY7" s="5" t="s">
        <v>73</v>
      </c>
      <c r="BZ7" s="2">
        <v>391002.3</v>
      </c>
      <c r="CC7" s="19" t="s">
        <v>152</v>
      </c>
      <c r="CD7" s="14">
        <v>1</v>
      </c>
    </row>
    <row r="8" spans="1:82" x14ac:dyDescent="0.25">
      <c r="A8" s="5" t="s">
        <v>77</v>
      </c>
      <c r="H8" s="5" t="s">
        <v>73</v>
      </c>
      <c r="I8" s="12">
        <v>7.1199999999999992</v>
      </c>
      <c r="M8" s="16" t="s">
        <v>59</v>
      </c>
      <c r="N8" s="17">
        <v>130150.47500000001</v>
      </c>
      <c r="Q8" s="6" t="s">
        <v>138</v>
      </c>
      <c r="W8" s="5" t="s">
        <v>65</v>
      </c>
      <c r="X8" s="12"/>
      <c r="Y8" s="12"/>
      <c r="Z8" s="12"/>
      <c r="AA8" s="12"/>
      <c r="AB8" s="12"/>
      <c r="AC8" s="12">
        <v>1</v>
      </c>
      <c r="AD8" s="12"/>
      <c r="AE8" s="12">
        <v>1</v>
      </c>
      <c r="AF8" s="12"/>
      <c r="AG8" s="12"/>
      <c r="AH8" s="12"/>
      <c r="AI8" s="12"/>
      <c r="AJ8" s="12"/>
      <c r="AK8" s="12"/>
      <c r="AL8" s="12">
        <v>1</v>
      </c>
      <c r="AM8" s="12">
        <v>1</v>
      </c>
      <c r="AN8" s="12"/>
      <c r="AO8" s="12"/>
      <c r="AP8" s="12"/>
      <c r="AQ8" s="12">
        <v>1</v>
      </c>
      <c r="AR8" s="12"/>
      <c r="AS8" s="12"/>
      <c r="AT8" s="12"/>
      <c r="AU8" s="12">
        <v>5</v>
      </c>
      <c r="AX8" s="5" t="s">
        <v>65</v>
      </c>
      <c r="AY8" s="12">
        <v>1</v>
      </c>
      <c r="AZ8" s="12"/>
      <c r="BA8" s="12">
        <v>4</v>
      </c>
      <c r="BB8" s="12"/>
      <c r="BC8" s="12"/>
      <c r="BD8" s="12"/>
      <c r="BE8" s="12">
        <v>5</v>
      </c>
      <c r="BU8" s="5" t="s">
        <v>57</v>
      </c>
      <c r="BV8" s="2">
        <v>125500</v>
      </c>
      <c r="BY8" s="5" t="s">
        <v>87</v>
      </c>
      <c r="BZ8" s="2">
        <v>320102.25</v>
      </c>
      <c r="CC8" s="5" t="s">
        <v>78</v>
      </c>
      <c r="CD8" s="12">
        <v>2</v>
      </c>
    </row>
    <row r="9" spans="1:82" x14ac:dyDescent="0.25">
      <c r="A9" s="5" t="s">
        <v>155</v>
      </c>
      <c r="H9" s="5" t="s">
        <v>55</v>
      </c>
      <c r="I9" s="12">
        <v>5.34</v>
      </c>
      <c r="M9" s="5" t="s">
        <v>55</v>
      </c>
      <c r="N9" s="2">
        <v>90305.05</v>
      </c>
      <c r="Q9" s="5" t="s">
        <v>87</v>
      </c>
      <c r="W9" s="5" t="s">
        <v>74</v>
      </c>
      <c r="X9" s="12"/>
      <c r="Y9" s="12">
        <v>3</v>
      </c>
      <c r="Z9" s="12"/>
      <c r="AA9" s="12"/>
      <c r="AB9" s="12"/>
      <c r="AC9" s="12"/>
      <c r="AD9" s="12"/>
      <c r="AE9" s="12"/>
      <c r="AF9" s="12"/>
      <c r="AG9" s="12"/>
      <c r="AH9" s="12">
        <v>1</v>
      </c>
      <c r="AI9" s="12"/>
      <c r="AJ9" s="12"/>
      <c r="AK9" s="12"/>
      <c r="AL9" s="12"/>
      <c r="AM9" s="12"/>
      <c r="AN9" s="12"/>
      <c r="AO9" s="12"/>
      <c r="AP9" s="12"/>
      <c r="AQ9" s="12"/>
      <c r="AR9" s="12"/>
      <c r="AS9" s="12"/>
      <c r="AT9" s="12"/>
      <c r="AU9" s="12">
        <v>4</v>
      </c>
      <c r="AX9" s="5" t="s">
        <v>50</v>
      </c>
      <c r="AY9" s="12"/>
      <c r="AZ9" s="12"/>
      <c r="BA9" s="12">
        <v>2</v>
      </c>
      <c r="BB9" s="12">
        <v>1</v>
      </c>
      <c r="BC9" s="12"/>
      <c r="BD9" s="12">
        <v>2</v>
      </c>
      <c r="BE9" s="12">
        <v>5</v>
      </c>
      <c r="BU9" s="5" t="s">
        <v>159</v>
      </c>
      <c r="BV9" s="2">
        <v>648502</v>
      </c>
      <c r="BY9" s="5" t="s">
        <v>59</v>
      </c>
      <c r="BZ9" s="2">
        <v>260300.95</v>
      </c>
      <c r="CC9" s="6" t="s">
        <v>121</v>
      </c>
      <c r="CD9" s="12">
        <v>1</v>
      </c>
    </row>
    <row r="10" spans="1:82" x14ac:dyDescent="0.25">
      <c r="A10" s="5" t="s">
        <v>118</v>
      </c>
      <c r="H10" s="5" t="s">
        <v>159</v>
      </c>
      <c r="I10" s="12">
        <v>8.129999999999999</v>
      </c>
      <c r="M10" s="5" t="s">
        <v>159</v>
      </c>
      <c r="N10" s="2">
        <v>96711.17333333334</v>
      </c>
      <c r="Q10" s="6" t="s">
        <v>148</v>
      </c>
      <c r="W10" s="5" t="s">
        <v>83</v>
      </c>
      <c r="X10" s="12"/>
      <c r="Y10" s="12"/>
      <c r="Z10" s="12">
        <v>1</v>
      </c>
      <c r="AA10" s="12"/>
      <c r="AB10" s="12"/>
      <c r="AC10" s="12"/>
      <c r="AD10" s="12"/>
      <c r="AE10" s="12"/>
      <c r="AF10" s="12"/>
      <c r="AG10" s="12"/>
      <c r="AH10" s="12"/>
      <c r="AI10" s="12"/>
      <c r="AJ10" s="12"/>
      <c r="AK10" s="12"/>
      <c r="AL10" s="12"/>
      <c r="AM10" s="12"/>
      <c r="AN10" s="12"/>
      <c r="AO10" s="12">
        <v>1</v>
      </c>
      <c r="AP10" s="12"/>
      <c r="AQ10" s="12"/>
      <c r="AR10" s="12"/>
      <c r="AS10" s="12"/>
      <c r="AT10" s="12"/>
      <c r="AU10" s="12">
        <v>2</v>
      </c>
      <c r="AX10" s="5" t="s">
        <v>60</v>
      </c>
      <c r="AY10" s="12"/>
      <c r="AZ10" s="12">
        <v>3</v>
      </c>
      <c r="BA10" s="12">
        <v>2</v>
      </c>
      <c r="BB10" s="12"/>
      <c r="BC10" s="12">
        <v>2</v>
      </c>
      <c r="BD10" s="12"/>
      <c r="BE10" s="12">
        <v>7</v>
      </c>
      <c r="BY10" s="5" t="s">
        <v>159</v>
      </c>
      <c r="BZ10" s="2">
        <v>2901335.1999999997</v>
      </c>
      <c r="CC10" s="6" t="s">
        <v>77</v>
      </c>
      <c r="CD10" s="12">
        <v>1</v>
      </c>
    </row>
    <row r="11" spans="1:82" x14ac:dyDescent="0.25">
      <c r="A11" s="5" t="s">
        <v>112</v>
      </c>
      <c r="Q11" s="6" t="s">
        <v>85</v>
      </c>
      <c r="W11" s="5" t="s">
        <v>159</v>
      </c>
      <c r="X11" s="12">
        <v>3</v>
      </c>
      <c r="Y11" s="12">
        <v>3</v>
      </c>
      <c r="Z11" s="12">
        <v>3</v>
      </c>
      <c r="AA11" s="12">
        <v>2</v>
      </c>
      <c r="AB11" s="12">
        <v>1</v>
      </c>
      <c r="AC11" s="12">
        <v>1</v>
      </c>
      <c r="AD11" s="12">
        <v>1</v>
      </c>
      <c r="AE11" s="12">
        <v>1</v>
      </c>
      <c r="AF11" s="12">
        <v>1</v>
      </c>
      <c r="AG11" s="12">
        <v>1</v>
      </c>
      <c r="AH11" s="12">
        <v>1</v>
      </c>
      <c r="AI11" s="12">
        <v>1</v>
      </c>
      <c r="AJ11" s="12">
        <v>1</v>
      </c>
      <c r="AK11" s="12">
        <v>1</v>
      </c>
      <c r="AL11" s="12">
        <v>1</v>
      </c>
      <c r="AM11" s="12">
        <v>1</v>
      </c>
      <c r="AN11" s="12">
        <v>1</v>
      </c>
      <c r="AO11" s="12">
        <v>1</v>
      </c>
      <c r="AP11" s="12">
        <v>1</v>
      </c>
      <c r="AQ11" s="12">
        <v>1</v>
      </c>
      <c r="AR11" s="12">
        <v>1</v>
      </c>
      <c r="AS11" s="12">
        <v>1</v>
      </c>
      <c r="AT11" s="12">
        <v>1</v>
      </c>
      <c r="AU11" s="12">
        <v>30</v>
      </c>
      <c r="AX11" s="5" t="s">
        <v>159</v>
      </c>
      <c r="AY11" s="12">
        <v>5</v>
      </c>
      <c r="AZ11" s="12">
        <v>4</v>
      </c>
      <c r="BA11" s="12">
        <v>9</v>
      </c>
      <c r="BB11" s="12">
        <v>5</v>
      </c>
      <c r="BC11" s="12">
        <v>2</v>
      </c>
      <c r="BD11" s="12">
        <v>5</v>
      </c>
      <c r="BE11" s="12">
        <v>30</v>
      </c>
      <c r="CC11" s="5" t="s">
        <v>69</v>
      </c>
      <c r="CD11" s="12">
        <v>2</v>
      </c>
    </row>
    <row r="12" spans="1:82" x14ac:dyDescent="0.25">
      <c r="A12" s="5" t="s">
        <v>41</v>
      </c>
      <c r="Q12" s="5" t="s">
        <v>49</v>
      </c>
      <c r="CC12" s="6" t="s">
        <v>68</v>
      </c>
      <c r="CD12" s="12">
        <v>1</v>
      </c>
    </row>
    <row r="13" spans="1:82" x14ac:dyDescent="0.25">
      <c r="A13" s="5" t="s">
        <v>141</v>
      </c>
      <c r="Q13" s="6" t="s">
        <v>115</v>
      </c>
      <c r="CC13" s="6" t="s">
        <v>138</v>
      </c>
      <c r="CD13" s="12">
        <v>1</v>
      </c>
    </row>
    <row r="14" spans="1:82" x14ac:dyDescent="0.25">
      <c r="A14" s="5" t="s">
        <v>85</v>
      </c>
      <c r="Q14" s="6" t="s">
        <v>77</v>
      </c>
      <c r="CC14" s="5" t="s">
        <v>48</v>
      </c>
      <c r="CD14" s="12">
        <v>2</v>
      </c>
    </row>
    <row r="15" spans="1:82" x14ac:dyDescent="0.25">
      <c r="A15" s="5" t="s">
        <v>159</v>
      </c>
      <c r="Q15" s="6" t="s">
        <v>152</v>
      </c>
      <c r="CC15" s="6" t="s">
        <v>102</v>
      </c>
      <c r="CD15" s="12">
        <v>1</v>
      </c>
    </row>
    <row r="16" spans="1:82" x14ac:dyDescent="0.25">
      <c r="Q16" s="6" t="s">
        <v>98</v>
      </c>
      <c r="CC16" s="6" t="s">
        <v>47</v>
      </c>
      <c r="CD16" s="12">
        <v>1</v>
      </c>
    </row>
    <row r="17" spans="17:82" x14ac:dyDescent="0.25">
      <c r="Q17" s="6" t="s">
        <v>141</v>
      </c>
      <c r="CC17" s="5" t="s">
        <v>64</v>
      </c>
      <c r="CD17" s="12">
        <v>2</v>
      </c>
    </row>
    <row r="18" spans="17:82" x14ac:dyDescent="0.25">
      <c r="Q18" s="6" t="s">
        <v>63</v>
      </c>
      <c r="CC18" s="6" t="s">
        <v>115</v>
      </c>
      <c r="CD18" s="12">
        <v>1</v>
      </c>
    </row>
    <row r="19" spans="17:82" x14ac:dyDescent="0.25">
      <c r="Q19" s="5" t="s">
        <v>73</v>
      </c>
      <c r="CC19" s="6" t="s">
        <v>63</v>
      </c>
      <c r="CD19" s="12">
        <v>1</v>
      </c>
    </row>
    <row r="20" spans="17:82" x14ac:dyDescent="0.25">
      <c r="Q20" s="6" t="s">
        <v>155</v>
      </c>
      <c r="CC20" s="5" t="s">
        <v>42</v>
      </c>
      <c r="CD20" s="12">
        <v>2</v>
      </c>
    </row>
    <row r="21" spans="17:82" x14ac:dyDescent="0.25">
      <c r="Q21" s="6" t="s">
        <v>112</v>
      </c>
      <c r="CC21" s="6" t="s">
        <v>41</v>
      </c>
      <c r="CD21" s="12">
        <v>1</v>
      </c>
    </row>
    <row r="22" spans="17:82" x14ac:dyDescent="0.25">
      <c r="Q22" s="16" t="s">
        <v>59</v>
      </c>
      <c r="R22" s="18"/>
      <c r="S22" s="18"/>
      <c r="CC22" s="6" t="s">
        <v>124</v>
      </c>
      <c r="CD22" s="12">
        <v>1</v>
      </c>
    </row>
    <row r="23" spans="17:82" x14ac:dyDescent="0.25">
      <c r="Q23" s="6" t="s">
        <v>130</v>
      </c>
      <c r="CC23" s="5" t="s">
        <v>91</v>
      </c>
      <c r="CD23" s="12">
        <v>1</v>
      </c>
    </row>
    <row r="24" spans="17:82" x14ac:dyDescent="0.25">
      <c r="Q24" s="5" t="s">
        <v>55</v>
      </c>
      <c r="CC24" s="6" t="s">
        <v>90</v>
      </c>
      <c r="CD24" s="12">
        <v>1</v>
      </c>
    </row>
    <row r="25" spans="17:82" x14ac:dyDescent="0.25">
      <c r="Q25" s="6" t="s">
        <v>105</v>
      </c>
      <c r="CC25" s="5" t="s">
        <v>58</v>
      </c>
      <c r="CD25" s="12">
        <v>1</v>
      </c>
    </row>
    <row r="26" spans="17:82" x14ac:dyDescent="0.25">
      <c r="Q26" s="6" t="s">
        <v>53</v>
      </c>
      <c r="CC26" s="6" t="s">
        <v>57</v>
      </c>
      <c r="CD26" s="12">
        <v>1</v>
      </c>
    </row>
    <row r="27" spans="17:82" x14ac:dyDescent="0.25">
      <c r="Q27" s="6" t="s">
        <v>81</v>
      </c>
      <c r="CC27" s="5" t="s">
        <v>82</v>
      </c>
      <c r="CD27" s="12">
        <v>1</v>
      </c>
    </row>
    <row r="28" spans="17:82" x14ac:dyDescent="0.25">
      <c r="Q28" s="5" t="s">
        <v>159</v>
      </c>
      <c r="CC28" s="6" t="s">
        <v>81</v>
      </c>
      <c r="CD28" s="12">
        <v>1</v>
      </c>
    </row>
    <row r="29" spans="17:82" x14ac:dyDescent="0.25">
      <c r="CC29" s="5" t="s">
        <v>99</v>
      </c>
      <c r="CD29" s="12">
        <v>1</v>
      </c>
    </row>
    <row r="30" spans="17:82" x14ac:dyDescent="0.25">
      <c r="CC30" s="6" t="s">
        <v>98</v>
      </c>
      <c r="CD30" s="12">
        <v>1</v>
      </c>
    </row>
    <row r="31" spans="17:82" x14ac:dyDescent="0.25">
      <c r="CC31" s="5" t="s">
        <v>145</v>
      </c>
      <c r="CD31" s="12">
        <v>1</v>
      </c>
    </row>
    <row r="32" spans="17:82" x14ac:dyDescent="0.25">
      <c r="CC32" s="6" t="s">
        <v>144</v>
      </c>
      <c r="CD32" s="12">
        <v>1</v>
      </c>
    </row>
    <row r="33" spans="81:82" x14ac:dyDescent="0.25">
      <c r="CC33" s="5" t="s">
        <v>135</v>
      </c>
      <c r="CD33" s="12">
        <v>1</v>
      </c>
    </row>
    <row r="34" spans="81:82" x14ac:dyDescent="0.25">
      <c r="CC34" s="6" t="s">
        <v>134</v>
      </c>
      <c r="CD34" s="12">
        <v>1</v>
      </c>
    </row>
    <row r="35" spans="81:82" x14ac:dyDescent="0.25">
      <c r="CC35" s="5" t="s">
        <v>142</v>
      </c>
      <c r="CD35" s="12">
        <v>1</v>
      </c>
    </row>
    <row r="36" spans="81:82" x14ac:dyDescent="0.25">
      <c r="CC36" s="6" t="s">
        <v>141</v>
      </c>
      <c r="CD36" s="12">
        <v>1</v>
      </c>
    </row>
    <row r="37" spans="81:82" x14ac:dyDescent="0.25">
      <c r="CC37" s="5" t="s">
        <v>149</v>
      </c>
      <c r="CD37" s="12">
        <v>1</v>
      </c>
    </row>
    <row r="38" spans="81:82" x14ac:dyDescent="0.25">
      <c r="CC38" s="6" t="s">
        <v>148</v>
      </c>
      <c r="CD38" s="12">
        <v>1</v>
      </c>
    </row>
    <row r="39" spans="81:82" x14ac:dyDescent="0.25">
      <c r="CC39" s="5" t="s">
        <v>131</v>
      </c>
      <c r="CD39" s="12">
        <v>1</v>
      </c>
    </row>
    <row r="40" spans="81:82" x14ac:dyDescent="0.25">
      <c r="CC40" s="6" t="s">
        <v>130</v>
      </c>
      <c r="CD40" s="12">
        <v>1</v>
      </c>
    </row>
    <row r="41" spans="81:82" x14ac:dyDescent="0.25">
      <c r="CC41" s="5" t="s">
        <v>86</v>
      </c>
      <c r="CD41" s="12">
        <v>1</v>
      </c>
    </row>
    <row r="42" spans="81:82" x14ac:dyDescent="0.25">
      <c r="CC42" s="6" t="s">
        <v>85</v>
      </c>
      <c r="CD42" s="12">
        <v>1</v>
      </c>
    </row>
    <row r="43" spans="81:82" x14ac:dyDescent="0.25">
      <c r="CC43" s="5" t="s">
        <v>109</v>
      </c>
      <c r="CD43" s="12">
        <v>1</v>
      </c>
    </row>
    <row r="44" spans="81:82" x14ac:dyDescent="0.25">
      <c r="CC44" s="6" t="s">
        <v>108</v>
      </c>
      <c r="CD44" s="12">
        <v>1</v>
      </c>
    </row>
    <row r="45" spans="81:82" x14ac:dyDescent="0.25">
      <c r="CC45" s="5" t="s">
        <v>119</v>
      </c>
      <c r="CD45" s="12">
        <v>1</v>
      </c>
    </row>
    <row r="46" spans="81:82" x14ac:dyDescent="0.25">
      <c r="CC46" s="6" t="s">
        <v>118</v>
      </c>
      <c r="CD46" s="12">
        <v>1</v>
      </c>
    </row>
    <row r="47" spans="81:82" x14ac:dyDescent="0.25">
      <c r="CC47" s="5" t="s">
        <v>72</v>
      </c>
      <c r="CD47" s="12">
        <v>1</v>
      </c>
    </row>
    <row r="48" spans="81:82" x14ac:dyDescent="0.25">
      <c r="CC48" s="6" t="s">
        <v>71</v>
      </c>
      <c r="CD48" s="12">
        <v>1</v>
      </c>
    </row>
    <row r="49" spans="81:82" x14ac:dyDescent="0.25">
      <c r="CC49" s="5" t="s">
        <v>127</v>
      </c>
      <c r="CD49" s="12">
        <v>1</v>
      </c>
    </row>
    <row r="50" spans="81:82" x14ac:dyDescent="0.25">
      <c r="CC50" s="6" t="s">
        <v>126</v>
      </c>
      <c r="CD50" s="12">
        <v>1</v>
      </c>
    </row>
    <row r="51" spans="81:82" x14ac:dyDescent="0.25">
      <c r="CC51" s="5" t="s">
        <v>113</v>
      </c>
      <c r="CD51" s="12">
        <v>1</v>
      </c>
    </row>
    <row r="52" spans="81:82" x14ac:dyDescent="0.25">
      <c r="CC52" s="6" t="s">
        <v>112</v>
      </c>
      <c r="CD52" s="12">
        <v>1</v>
      </c>
    </row>
    <row r="53" spans="81:82" x14ac:dyDescent="0.25">
      <c r="CC53" s="5" t="s">
        <v>156</v>
      </c>
      <c r="CD53" s="12">
        <v>1</v>
      </c>
    </row>
    <row r="54" spans="81:82" x14ac:dyDescent="0.25">
      <c r="CC54" s="6" t="s">
        <v>155</v>
      </c>
      <c r="CD54" s="12">
        <v>1</v>
      </c>
    </row>
    <row r="55" spans="81:82" x14ac:dyDescent="0.25">
      <c r="CC55" s="5" t="s">
        <v>95</v>
      </c>
      <c r="CD55" s="12">
        <v>1</v>
      </c>
    </row>
    <row r="56" spans="81:82" x14ac:dyDescent="0.25">
      <c r="CC56" s="6" t="s">
        <v>94</v>
      </c>
      <c r="CD56" s="12">
        <v>1</v>
      </c>
    </row>
    <row r="57" spans="81:82" x14ac:dyDescent="0.25">
      <c r="CC57" s="5" t="s">
        <v>159</v>
      </c>
      <c r="CD57" s="12">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478AE-FF39-49A5-9036-F504DB63C50D}">
  <dimension ref="A1:M31"/>
  <sheetViews>
    <sheetView topLeftCell="F1" workbookViewId="0">
      <selection sqref="A1:A1048576"/>
    </sheetView>
  </sheetViews>
  <sheetFormatPr defaultColWidth="22" defaultRowHeight="15" x14ac:dyDescent="0.25"/>
  <cols>
    <col min="6" max="6" width="22" style="2"/>
    <col min="10" max="11" width="22" style="3"/>
  </cols>
  <sheetData>
    <row r="1" spans="1:13" x14ac:dyDescent="0.25">
      <c r="A1" t="s">
        <v>31</v>
      </c>
      <c r="B1" t="s">
        <v>32</v>
      </c>
      <c r="C1" t="s">
        <v>33</v>
      </c>
      <c r="D1" t="s">
        <v>34</v>
      </c>
      <c r="E1" t="s">
        <v>35</v>
      </c>
      <c r="F1" s="2" t="s">
        <v>36</v>
      </c>
      <c r="G1" t="s">
        <v>37</v>
      </c>
      <c r="H1" t="s">
        <v>38</v>
      </c>
      <c r="I1" t="s">
        <v>39</v>
      </c>
      <c r="J1" s="3" t="s">
        <v>158</v>
      </c>
      <c r="K1" s="3" t="s">
        <v>166</v>
      </c>
      <c r="L1" s="3" t="s">
        <v>176</v>
      </c>
      <c r="M1" t="s">
        <v>164</v>
      </c>
    </row>
    <row r="2" spans="1:13" x14ac:dyDescent="0.25">
      <c r="A2" t="s">
        <v>40</v>
      </c>
      <c r="B2" t="s">
        <v>41</v>
      </c>
      <c r="C2" t="s">
        <v>42</v>
      </c>
      <c r="D2" t="s">
        <v>43</v>
      </c>
      <c r="E2" s="1">
        <v>40953</v>
      </c>
      <c r="F2" s="2">
        <v>78960.73</v>
      </c>
      <c r="G2">
        <v>13.1</v>
      </c>
      <c r="H2" t="s">
        <v>44</v>
      </c>
      <c r="I2" t="s">
        <v>45</v>
      </c>
      <c r="J2" s="3">
        <f ca="1">DATEDIF(Table1[[#This Row],[HireDate]], TODAY(), "Y") + DATEDIF(Table1[[#This Row],[HireDate]], TODAY(), "YM")/12</f>
        <v>13.666666666666666</v>
      </c>
      <c r="K2" s="3" t="str">
        <f ca="1">IF(Table1[[#This Row],[YearsofService]]&gt;10,"Above 10 years","Below 10 years")</f>
        <v>Above 10 years</v>
      </c>
      <c r="L2" s="3" t="str">
        <f>IF(Table1[[#This Row],[YearsExperience]]&lt;3,"Less than 3 Years","3 Years and Above")</f>
        <v>3 Years and Above</v>
      </c>
      <c r="M2" t="str">
        <f>IF(Table1[[#This Row],[Salary]] &gt; AVERAGEIFS(Table1[Salary],Table1[Department],Table1[[#This Row],[Department]]), "High Class", "Normal")</f>
        <v>Normal</v>
      </c>
    </row>
    <row r="3" spans="1:13" x14ac:dyDescent="0.25">
      <c r="A3" t="s">
        <v>46</v>
      </c>
      <c r="B3" t="s">
        <v>47</v>
      </c>
      <c r="C3" t="s">
        <v>48</v>
      </c>
      <c r="D3" t="s">
        <v>49</v>
      </c>
      <c r="E3" s="1">
        <v>43380</v>
      </c>
      <c r="F3" s="2">
        <v>105887.97</v>
      </c>
      <c r="G3">
        <v>14.8</v>
      </c>
      <c r="H3" t="s">
        <v>50</v>
      </c>
      <c r="I3" t="s">
        <v>51</v>
      </c>
      <c r="J3" s="3">
        <f ca="1">DATEDIF(Table1[[#This Row],[HireDate]], TODAY(), "Y") + DATEDIF(Table1[[#This Row],[HireDate]], TODAY(), "YM")/12</f>
        <v>7</v>
      </c>
      <c r="K3" s="3" t="str">
        <f ca="1">IF(Table1[[#This Row],[YearsofService]]&gt;10,"Above 10 years","Below 10 years")</f>
        <v>Below 10 years</v>
      </c>
      <c r="L3" s="3" t="str">
        <f>IF(Table1[[#This Row],[YearsExperience]]&lt;3,"Less than 3 Years","3 Years and Above")</f>
        <v>3 Years and Above</v>
      </c>
      <c r="M3" t="str">
        <f>IF(Table1[[#This Row],[Salary]] &gt; AVERAGEIFS(Table1[Salary],Table1[Department],Table1[[#This Row],[Department]]), "High Class", "Normal")</f>
        <v>Normal</v>
      </c>
    </row>
    <row r="4" spans="1:13" x14ac:dyDescent="0.25">
      <c r="A4" t="s">
        <v>52</v>
      </c>
      <c r="B4" t="s">
        <v>53</v>
      </c>
      <c r="C4" t="s">
        <v>54</v>
      </c>
      <c r="D4" t="s">
        <v>55</v>
      </c>
      <c r="E4" s="1">
        <v>43762</v>
      </c>
      <c r="F4" s="2">
        <v>97023.2</v>
      </c>
      <c r="G4">
        <v>1.3</v>
      </c>
      <c r="H4" t="s">
        <v>44</v>
      </c>
      <c r="I4" t="s">
        <v>51</v>
      </c>
      <c r="J4" s="3">
        <f ca="1">DATEDIF(Table1[[#This Row],[HireDate]], TODAY(), "Y") + DATEDIF(Table1[[#This Row],[HireDate]], TODAY(), "YM")/12</f>
        <v>5.916666666666667</v>
      </c>
      <c r="K4" s="3" t="str">
        <f ca="1">IF(Table1[[#This Row],[YearsofService]]&gt;10,"Above 10 years","Below 10 years")</f>
        <v>Below 10 years</v>
      </c>
      <c r="L4" s="3" t="str">
        <f>IF(Table1[[#This Row],[YearsExperience]]&lt;3,"Less than 3 Years","3 Years and Above")</f>
        <v>Less than 3 Years</v>
      </c>
      <c r="M4" t="str">
        <f>IF(Table1[[#This Row],[Salary]] &gt; AVERAGEIFS(Table1[Salary],Table1[Department],Table1[[#This Row],[Department]]), "High Class", "Normal")</f>
        <v>High Class</v>
      </c>
    </row>
    <row r="5" spans="1:13" x14ac:dyDescent="0.25">
      <c r="A5" t="s">
        <v>56</v>
      </c>
      <c r="B5" t="s">
        <v>57</v>
      </c>
      <c r="C5" t="s">
        <v>58</v>
      </c>
      <c r="D5" t="s">
        <v>59</v>
      </c>
      <c r="E5" s="1">
        <v>42522</v>
      </c>
      <c r="F5" s="2">
        <v>125500</v>
      </c>
      <c r="G5">
        <v>11.4</v>
      </c>
      <c r="H5" t="s">
        <v>60</v>
      </c>
      <c r="I5" t="s">
        <v>61</v>
      </c>
      <c r="J5" s="3">
        <f ca="1">DATEDIF(Table1[[#This Row],[HireDate]], TODAY(), "Y") + DATEDIF(Table1[[#This Row],[HireDate]], TODAY(), "YM")/12</f>
        <v>9.3333333333333339</v>
      </c>
      <c r="K5" s="3" t="str">
        <f ca="1">IF(Table1[[#This Row],[YearsofService]]&gt;10,"Above 10 years","Below 10 years")</f>
        <v>Below 10 years</v>
      </c>
      <c r="L5" s="3" t="str">
        <f>IF(Table1[[#This Row],[YearsExperience]]&lt;3,"Less than 3 Years","3 Years and Above")</f>
        <v>3 Years and Above</v>
      </c>
      <c r="M5" t="str">
        <f>IF(Table1[[#This Row],[Salary]] &gt; AVERAGEIFS(Table1[Salary],Table1[Department],Table1[[#This Row],[Department]]), "High Class", "Normal")</f>
        <v>Normal</v>
      </c>
    </row>
    <row r="6" spans="1:13" x14ac:dyDescent="0.25">
      <c r="A6" t="s">
        <v>62</v>
      </c>
      <c r="B6" t="s">
        <v>63</v>
      </c>
      <c r="C6" t="s">
        <v>64</v>
      </c>
      <c r="D6" t="s">
        <v>49</v>
      </c>
      <c r="E6" s="1">
        <v>43905</v>
      </c>
      <c r="F6" s="2">
        <v>115450.5</v>
      </c>
      <c r="G6">
        <v>4.5</v>
      </c>
      <c r="H6" t="s">
        <v>65</v>
      </c>
      <c r="I6" t="s">
        <v>66</v>
      </c>
      <c r="J6" s="3">
        <f ca="1">DATEDIF(Table1[[#This Row],[HireDate]], TODAY(), "Y") + DATEDIF(Table1[[#This Row],[HireDate]], TODAY(), "YM")/12</f>
        <v>5.583333333333333</v>
      </c>
      <c r="K6" s="3" t="str">
        <f ca="1">IF(Table1[[#This Row],[YearsofService]]&gt;10,"Above 10 years","Below 10 years")</f>
        <v>Below 10 years</v>
      </c>
      <c r="L6" s="3" t="str">
        <f>IF(Table1[[#This Row],[YearsExperience]]&lt;3,"Less than 3 Years","3 Years and Above")</f>
        <v>3 Years and Above</v>
      </c>
      <c r="M6" t="str">
        <f>IF(Table1[[#This Row],[Salary]] &gt; AVERAGEIFS(Table1[Salary],Table1[Department],Table1[[#This Row],[Department]]), "High Class", "Normal")</f>
        <v>High Class</v>
      </c>
    </row>
    <row r="7" spans="1:13" x14ac:dyDescent="0.25">
      <c r="A7" t="s">
        <v>67</v>
      </c>
      <c r="B7" t="s">
        <v>68</v>
      </c>
      <c r="C7" t="s">
        <v>69</v>
      </c>
      <c r="D7" t="s">
        <v>43</v>
      </c>
      <c r="E7" s="1">
        <v>42268</v>
      </c>
      <c r="F7" s="2">
        <v>98400.75</v>
      </c>
      <c r="G7">
        <v>9.6999999999999993</v>
      </c>
      <c r="H7" t="s">
        <v>44</v>
      </c>
      <c r="I7" t="s">
        <v>45</v>
      </c>
      <c r="J7" s="3">
        <f ca="1">DATEDIF(Table1[[#This Row],[HireDate]], TODAY(), "Y") + DATEDIF(Table1[[#This Row],[HireDate]], TODAY(), "YM")/12</f>
        <v>10</v>
      </c>
      <c r="K7" s="3" t="str">
        <f ca="1">IF(Table1[[#This Row],[YearsofService]]&gt;10,"Above 10 years","Below 10 years")</f>
        <v>Below 10 years</v>
      </c>
      <c r="L7" s="3" t="str">
        <f>IF(Table1[[#This Row],[YearsExperience]]&lt;3,"Less than 3 Years","3 Years and Above")</f>
        <v>3 Years and Above</v>
      </c>
      <c r="M7" t="str">
        <f>IF(Table1[[#This Row],[Salary]] &gt; AVERAGEIFS(Table1[Salary],Table1[Department],Table1[[#This Row],[Department]]), "High Class", "Normal")</f>
        <v>High Class</v>
      </c>
    </row>
    <row r="8" spans="1:13" x14ac:dyDescent="0.25">
      <c r="A8" t="s">
        <v>70</v>
      </c>
      <c r="B8" t="s">
        <v>71</v>
      </c>
      <c r="C8" t="s">
        <v>72</v>
      </c>
      <c r="D8" t="s">
        <v>73</v>
      </c>
      <c r="E8" s="1">
        <v>43080</v>
      </c>
      <c r="F8" s="2">
        <v>76500.2</v>
      </c>
      <c r="G8">
        <v>6.1</v>
      </c>
      <c r="H8" t="s">
        <v>74</v>
      </c>
      <c r="I8" t="s">
        <v>75</v>
      </c>
      <c r="J8" s="3">
        <f ca="1">DATEDIF(Table1[[#This Row],[HireDate]], TODAY(), "Y") + DATEDIF(Table1[[#This Row],[HireDate]], TODAY(), "YM")/12</f>
        <v>7.833333333333333</v>
      </c>
      <c r="K8" s="3" t="str">
        <f ca="1">IF(Table1[[#This Row],[YearsofService]]&gt;10,"Above 10 years","Below 10 years")</f>
        <v>Below 10 years</v>
      </c>
      <c r="L8" s="3" t="str">
        <f>IF(Table1[[#This Row],[YearsExperience]]&lt;3,"Less than 3 Years","3 Years and Above")</f>
        <v>3 Years and Above</v>
      </c>
      <c r="M8" t="str">
        <f>IF(Table1[[#This Row],[Salary]] &gt; AVERAGEIFS(Table1[Salary],Table1[Department],Table1[[#This Row],[Department]]), "High Class", "Normal")</f>
        <v>Normal</v>
      </c>
    </row>
    <row r="9" spans="1:13" x14ac:dyDescent="0.25">
      <c r="A9" t="s">
        <v>76</v>
      </c>
      <c r="B9" t="s">
        <v>77</v>
      </c>
      <c r="C9" t="s">
        <v>78</v>
      </c>
      <c r="D9" t="s">
        <v>49</v>
      </c>
      <c r="E9" s="1">
        <v>41845</v>
      </c>
      <c r="F9" s="2">
        <v>134200</v>
      </c>
      <c r="G9">
        <v>12</v>
      </c>
      <c r="H9" t="s">
        <v>60</v>
      </c>
      <c r="I9" t="s">
        <v>79</v>
      </c>
      <c r="J9" s="3">
        <f ca="1">DATEDIF(Table1[[#This Row],[HireDate]], TODAY(), "Y") + DATEDIF(Table1[[#This Row],[HireDate]], TODAY(), "YM")/12</f>
        <v>11.166666666666666</v>
      </c>
      <c r="K9" s="3" t="str">
        <f ca="1">IF(Table1[[#This Row],[YearsofService]]&gt;10,"Above 10 years","Below 10 years")</f>
        <v>Above 10 years</v>
      </c>
      <c r="L9" s="3" t="str">
        <f>IF(Table1[[#This Row],[YearsExperience]]&lt;3,"Less than 3 Years","3 Years and Above")</f>
        <v>3 Years and Above</v>
      </c>
      <c r="M9" t="str">
        <f>IF(Table1[[#This Row],[Salary]] &gt; AVERAGEIFS(Table1[Salary],Table1[Department],Table1[[#This Row],[Department]]), "High Class", "Normal")</f>
        <v>High Class</v>
      </c>
    </row>
    <row r="10" spans="1:13" x14ac:dyDescent="0.25">
      <c r="A10" t="s">
        <v>80</v>
      </c>
      <c r="B10" t="s">
        <v>81</v>
      </c>
      <c r="C10" t="s">
        <v>82</v>
      </c>
      <c r="D10" t="s">
        <v>55</v>
      </c>
      <c r="E10" s="1">
        <v>43474</v>
      </c>
      <c r="F10" s="2">
        <v>112300.65</v>
      </c>
      <c r="G10">
        <v>3.9</v>
      </c>
      <c r="H10" t="s">
        <v>83</v>
      </c>
      <c r="I10" t="s">
        <v>51</v>
      </c>
      <c r="J10" s="3">
        <f ca="1">DATEDIF(Table1[[#This Row],[HireDate]], TODAY(), "Y") + DATEDIF(Table1[[#This Row],[HireDate]], TODAY(), "YM")/12</f>
        <v>6.75</v>
      </c>
      <c r="K10" s="3" t="str">
        <f ca="1">IF(Table1[[#This Row],[YearsofService]]&gt;10,"Above 10 years","Below 10 years")</f>
        <v>Below 10 years</v>
      </c>
      <c r="L10" s="3" t="str">
        <f>IF(Table1[[#This Row],[YearsExperience]]&lt;3,"Less than 3 Years","3 Years and Above")</f>
        <v>3 Years and Above</v>
      </c>
      <c r="M10" t="str">
        <f>IF(Table1[[#This Row],[Salary]] &gt; AVERAGEIFS(Table1[Salary],Table1[Department],Table1[[#This Row],[Department]]), "High Class", "Normal")</f>
        <v>High Class</v>
      </c>
    </row>
    <row r="11" spans="1:13" x14ac:dyDescent="0.25">
      <c r="A11" t="s">
        <v>84</v>
      </c>
      <c r="B11" t="s">
        <v>85</v>
      </c>
      <c r="C11" t="s">
        <v>86</v>
      </c>
      <c r="D11" t="s">
        <v>87</v>
      </c>
      <c r="E11" s="1">
        <v>41424</v>
      </c>
      <c r="F11" s="2">
        <v>89400.8</v>
      </c>
      <c r="G11">
        <v>14.2</v>
      </c>
      <c r="H11" t="s">
        <v>44</v>
      </c>
      <c r="I11" t="s">
        <v>88</v>
      </c>
      <c r="J11" s="3">
        <f ca="1">DATEDIF(Table1[[#This Row],[HireDate]], TODAY(), "Y") + DATEDIF(Table1[[#This Row],[HireDate]], TODAY(), "YM")/12</f>
        <v>12.333333333333334</v>
      </c>
      <c r="K11" s="3" t="str">
        <f ca="1">IF(Table1[[#This Row],[YearsofService]]&gt;10,"Above 10 years","Below 10 years")</f>
        <v>Above 10 years</v>
      </c>
      <c r="L11" s="3" t="str">
        <f>IF(Table1[[#This Row],[YearsExperience]]&lt;3,"Less than 3 Years","3 Years and Above")</f>
        <v>3 Years and Above</v>
      </c>
      <c r="M11" t="str">
        <f>IF(Table1[[#This Row],[Salary]] &gt; AVERAGEIFS(Table1[Salary],Table1[Department],Table1[[#This Row],[Department]]), "High Class", "Normal")</f>
        <v>High Class</v>
      </c>
    </row>
    <row r="12" spans="1:13" x14ac:dyDescent="0.25">
      <c r="A12" t="s">
        <v>89</v>
      </c>
      <c r="B12" t="s">
        <v>90</v>
      </c>
      <c r="C12" t="s">
        <v>91</v>
      </c>
      <c r="D12" t="s">
        <v>49</v>
      </c>
      <c r="E12" s="1">
        <v>43148</v>
      </c>
      <c r="F12" s="2">
        <v>68500.899999999994</v>
      </c>
      <c r="G12">
        <v>5.7</v>
      </c>
      <c r="H12" t="s">
        <v>60</v>
      </c>
      <c r="I12" t="s">
        <v>92</v>
      </c>
      <c r="J12" s="3">
        <f ca="1">DATEDIF(Table1[[#This Row],[HireDate]], TODAY(), "Y") + DATEDIF(Table1[[#This Row],[HireDate]], TODAY(), "YM")/12</f>
        <v>7.666666666666667</v>
      </c>
      <c r="K12" s="3" t="str">
        <f ca="1">IF(Table1[[#This Row],[YearsofService]]&gt;10,"Above 10 years","Below 10 years")</f>
        <v>Below 10 years</v>
      </c>
      <c r="L12" s="3" t="str">
        <f>IF(Table1[[#This Row],[YearsExperience]]&lt;3,"Less than 3 Years","3 Years and Above")</f>
        <v>3 Years and Above</v>
      </c>
      <c r="M12" t="str">
        <f>IF(Table1[[#This Row],[Salary]] &gt; AVERAGEIFS(Table1[Salary],Table1[Department],Table1[[#This Row],[Department]]), "High Class", "Normal")</f>
        <v>Normal</v>
      </c>
    </row>
    <row r="13" spans="1:13" x14ac:dyDescent="0.25">
      <c r="A13" t="s">
        <v>93</v>
      </c>
      <c r="B13" t="s">
        <v>94</v>
      </c>
      <c r="C13" t="s">
        <v>95</v>
      </c>
      <c r="D13" t="s">
        <v>73</v>
      </c>
      <c r="E13" s="1">
        <v>44367</v>
      </c>
      <c r="F13" s="2">
        <v>60200.45</v>
      </c>
      <c r="G13">
        <v>2.1</v>
      </c>
      <c r="H13" t="s">
        <v>74</v>
      </c>
      <c r="I13" t="s">
        <v>96</v>
      </c>
      <c r="J13" s="3">
        <f ca="1">DATEDIF(Table1[[#This Row],[HireDate]], TODAY(), "Y") + DATEDIF(Table1[[#This Row],[HireDate]], TODAY(), "YM")/12</f>
        <v>4.25</v>
      </c>
      <c r="K13" s="3" t="str">
        <f ca="1">IF(Table1[[#This Row],[YearsofService]]&gt;10,"Above 10 years","Below 10 years")</f>
        <v>Below 10 years</v>
      </c>
      <c r="L13" s="3" t="str">
        <f>IF(Table1[[#This Row],[YearsExperience]]&lt;3,"Less than 3 Years","3 Years and Above")</f>
        <v>Less than 3 Years</v>
      </c>
      <c r="M13" t="str">
        <f>IF(Table1[[#This Row],[Salary]] &gt; AVERAGEIFS(Table1[Salary],Table1[Department],Table1[[#This Row],[Department]]), "High Class", "Normal")</f>
        <v>Normal</v>
      </c>
    </row>
    <row r="14" spans="1:13" x14ac:dyDescent="0.25">
      <c r="A14" t="s">
        <v>97</v>
      </c>
      <c r="B14" t="s">
        <v>98</v>
      </c>
      <c r="C14" t="s">
        <v>99</v>
      </c>
      <c r="D14" t="s">
        <v>49</v>
      </c>
      <c r="E14" s="1">
        <v>42587</v>
      </c>
      <c r="F14" s="2">
        <v>121300.1</v>
      </c>
      <c r="G14">
        <v>8.5</v>
      </c>
      <c r="H14" t="s">
        <v>65</v>
      </c>
      <c r="I14" t="s">
        <v>100</v>
      </c>
      <c r="J14" s="3">
        <f ca="1">DATEDIF(Table1[[#This Row],[HireDate]], TODAY(), "Y") + DATEDIF(Table1[[#This Row],[HireDate]], TODAY(), "YM")/12</f>
        <v>9.1666666666666661</v>
      </c>
      <c r="K14" s="3" t="str">
        <f ca="1">IF(Table1[[#This Row],[YearsofService]]&gt;10,"Above 10 years","Below 10 years")</f>
        <v>Below 10 years</v>
      </c>
      <c r="L14" s="3" t="str">
        <f>IF(Table1[[#This Row],[YearsExperience]]&lt;3,"Less than 3 Years","3 Years and Above")</f>
        <v>3 Years and Above</v>
      </c>
      <c r="M14" t="str">
        <f>IF(Table1[[#This Row],[Salary]] &gt; AVERAGEIFS(Table1[Salary],Table1[Department],Table1[[#This Row],[Department]]), "High Class", "Normal")</f>
        <v>High Class</v>
      </c>
    </row>
    <row r="15" spans="1:13" x14ac:dyDescent="0.25">
      <c r="A15" t="s">
        <v>101</v>
      </c>
      <c r="B15" t="s">
        <v>102</v>
      </c>
      <c r="C15" t="s">
        <v>48</v>
      </c>
      <c r="D15" t="s">
        <v>43</v>
      </c>
      <c r="E15" s="1">
        <v>43027</v>
      </c>
      <c r="F15" s="2">
        <v>99800.75</v>
      </c>
      <c r="G15">
        <v>7.3</v>
      </c>
      <c r="H15" t="s">
        <v>44</v>
      </c>
      <c r="I15" t="s">
        <v>103</v>
      </c>
      <c r="J15" s="3">
        <f ca="1">DATEDIF(Table1[[#This Row],[HireDate]], TODAY(), "Y") + DATEDIF(Table1[[#This Row],[HireDate]], TODAY(), "YM")/12</f>
        <v>7.916666666666667</v>
      </c>
      <c r="K15" s="3" t="str">
        <f ca="1">IF(Table1[[#This Row],[YearsofService]]&gt;10,"Above 10 years","Below 10 years")</f>
        <v>Below 10 years</v>
      </c>
      <c r="L15" s="3" t="str">
        <f>IF(Table1[[#This Row],[YearsExperience]]&lt;3,"Less than 3 Years","3 Years and Above")</f>
        <v>3 Years and Above</v>
      </c>
      <c r="M15" t="str">
        <f>IF(Table1[[#This Row],[Salary]] &gt; AVERAGEIFS(Table1[Salary],Table1[Department],Table1[[#This Row],[Department]]), "High Class", "Normal")</f>
        <v>High Class</v>
      </c>
    </row>
    <row r="16" spans="1:13" x14ac:dyDescent="0.25">
      <c r="A16" t="s">
        <v>104</v>
      </c>
      <c r="B16" t="s">
        <v>105</v>
      </c>
      <c r="C16" t="s">
        <v>54</v>
      </c>
      <c r="D16" t="s">
        <v>55</v>
      </c>
      <c r="E16" s="1">
        <v>41968</v>
      </c>
      <c r="F16" s="2">
        <v>109500.25</v>
      </c>
      <c r="G16">
        <v>10.199999999999999</v>
      </c>
      <c r="H16" t="s">
        <v>50</v>
      </c>
      <c r="I16" t="s">
        <v>106</v>
      </c>
      <c r="J16" s="3">
        <f ca="1">DATEDIF(Table1[[#This Row],[HireDate]], TODAY(), "Y") + DATEDIF(Table1[[#This Row],[HireDate]], TODAY(), "YM")/12</f>
        <v>10.833333333333334</v>
      </c>
      <c r="K16" s="3" t="str">
        <f ca="1">IF(Table1[[#This Row],[YearsofService]]&gt;10,"Above 10 years","Below 10 years")</f>
        <v>Above 10 years</v>
      </c>
      <c r="L16" s="3" t="str">
        <f>IF(Table1[[#This Row],[YearsExperience]]&lt;3,"Less than 3 Years","3 Years and Above")</f>
        <v>3 Years and Above</v>
      </c>
      <c r="M16" t="str">
        <f>IF(Table1[[#This Row],[Salary]] &gt; AVERAGEIFS(Table1[Salary],Table1[Department],Table1[[#This Row],[Department]]), "High Class", "Normal")</f>
        <v>High Class</v>
      </c>
    </row>
    <row r="17" spans="1:13" x14ac:dyDescent="0.25">
      <c r="A17" t="s">
        <v>107</v>
      </c>
      <c r="B17" t="s">
        <v>108</v>
      </c>
      <c r="C17" t="s">
        <v>109</v>
      </c>
      <c r="D17" t="s">
        <v>87</v>
      </c>
      <c r="E17" s="1">
        <v>43569</v>
      </c>
      <c r="F17" s="2">
        <v>71500.55</v>
      </c>
      <c r="G17">
        <v>4</v>
      </c>
      <c r="H17" t="s">
        <v>60</v>
      </c>
      <c r="I17" t="s">
        <v>110</v>
      </c>
      <c r="J17" s="3">
        <f ca="1">DATEDIF(Table1[[#This Row],[HireDate]], TODAY(), "Y") + DATEDIF(Table1[[#This Row],[HireDate]], TODAY(), "YM")/12</f>
        <v>6.5</v>
      </c>
      <c r="K17" s="3" t="str">
        <f ca="1">IF(Table1[[#This Row],[YearsofService]]&gt;10,"Above 10 years","Below 10 years")</f>
        <v>Below 10 years</v>
      </c>
      <c r="L17" s="3" t="str">
        <f>IF(Table1[[#This Row],[YearsExperience]]&lt;3,"Less than 3 Years","3 Years and Above")</f>
        <v>3 Years and Above</v>
      </c>
      <c r="M17" t="str">
        <f>IF(Table1[[#This Row],[Salary]] &gt; AVERAGEIFS(Table1[Salary],Table1[Department],Table1[[#This Row],[Department]]), "High Class", "Normal")</f>
        <v>Normal</v>
      </c>
    </row>
    <row r="18" spans="1:13" x14ac:dyDescent="0.25">
      <c r="A18" t="s">
        <v>111</v>
      </c>
      <c r="B18" t="s">
        <v>112</v>
      </c>
      <c r="C18" t="s">
        <v>113</v>
      </c>
      <c r="D18" t="s">
        <v>73</v>
      </c>
      <c r="E18" s="1">
        <v>42013</v>
      </c>
      <c r="F18" s="2">
        <v>85000.65</v>
      </c>
      <c r="G18">
        <v>9.5</v>
      </c>
      <c r="H18" t="s">
        <v>74</v>
      </c>
      <c r="I18" t="s">
        <v>75</v>
      </c>
      <c r="J18" s="3">
        <f ca="1">DATEDIF(Table1[[#This Row],[HireDate]], TODAY(), "Y") + DATEDIF(Table1[[#This Row],[HireDate]], TODAY(), "YM")/12</f>
        <v>10.75</v>
      </c>
      <c r="K18" s="3" t="str">
        <f ca="1">IF(Table1[[#This Row],[YearsofService]]&gt;10,"Above 10 years","Below 10 years")</f>
        <v>Above 10 years</v>
      </c>
      <c r="L18" s="3" t="str">
        <f>IF(Table1[[#This Row],[YearsExperience]]&lt;3,"Less than 3 Years","3 Years and Above")</f>
        <v>3 Years and Above</v>
      </c>
      <c r="M18" t="str">
        <f>IF(Table1[[#This Row],[Salary]] &gt; AVERAGEIFS(Table1[Salary],Table1[Department],Table1[[#This Row],[Department]]), "High Class", "Normal")</f>
        <v>High Class</v>
      </c>
    </row>
    <row r="19" spans="1:13" x14ac:dyDescent="0.25">
      <c r="A19" t="s">
        <v>114</v>
      </c>
      <c r="B19" t="s">
        <v>115</v>
      </c>
      <c r="C19" t="s">
        <v>64</v>
      </c>
      <c r="D19" t="s">
        <v>49</v>
      </c>
      <c r="E19" s="1">
        <v>44755</v>
      </c>
      <c r="F19" s="2">
        <v>125700.85</v>
      </c>
      <c r="G19">
        <v>2.5</v>
      </c>
      <c r="H19" t="s">
        <v>65</v>
      </c>
      <c r="I19" t="s">
        <v>116</v>
      </c>
      <c r="J19" s="3">
        <f ca="1">DATEDIF(Table1[[#This Row],[HireDate]], TODAY(), "Y") + DATEDIF(Table1[[#This Row],[HireDate]], TODAY(), "YM")/12</f>
        <v>3.25</v>
      </c>
      <c r="K19" s="3" t="str">
        <f ca="1">IF(Table1[[#This Row],[YearsofService]]&gt;10,"Above 10 years","Below 10 years")</f>
        <v>Below 10 years</v>
      </c>
      <c r="L19" s="3" t="str">
        <f>IF(Table1[[#This Row],[YearsExperience]]&lt;3,"Less than 3 Years","3 Years and Above")</f>
        <v>Less than 3 Years</v>
      </c>
      <c r="M19" t="str">
        <f>IF(Table1[[#This Row],[Salary]] &gt; AVERAGEIFS(Table1[Salary],Table1[Department],Table1[[#This Row],[Department]]), "High Class", "Normal")</f>
        <v>High Class</v>
      </c>
    </row>
    <row r="20" spans="1:13" x14ac:dyDescent="0.25">
      <c r="A20" t="s">
        <v>117</v>
      </c>
      <c r="B20" t="s">
        <v>118</v>
      </c>
      <c r="C20" t="s">
        <v>119</v>
      </c>
      <c r="D20" t="s">
        <v>43</v>
      </c>
      <c r="E20" s="1">
        <v>41351</v>
      </c>
      <c r="F20" s="2">
        <v>88000.4</v>
      </c>
      <c r="G20">
        <v>15</v>
      </c>
      <c r="H20" t="s">
        <v>44</v>
      </c>
      <c r="I20" t="s">
        <v>45</v>
      </c>
      <c r="J20" s="3">
        <f ca="1">DATEDIF(Table1[[#This Row],[HireDate]], TODAY(), "Y") + DATEDIF(Table1[[#This Row],[HireDate]], TODAY(), "YM")/12</f>
        <v>12.583333333333334</v>
      </c>
      <c r="K20" s="3" t="str">
        <f ca="1">IF(Table1[[#This Row],[YearsofService]]&gt;10,"Above 10 years","Below 10 years")</f>
        <v>Above 10 years</v>
      </c>
      <c r="L20" s="3" t="str">
        <f>IF(Table1[[#This Row],[YearsExperience]]&lt;3,"Less than 3 Years","3 Years and Above")</f>
        <v>3 Years and Above</v>
      </c>
      <c r="M20" t="str">
        <f>IF(Table1[[#This Row],[Salary]] &gt; AVERAGEIFS(Table1[Salary],Table1[Department],Table1[[#This Row],[Department]]), "High Class", "Normal")</f>
        <v>Normal</v>
      </c>
    </row>
    <row r="21" spans="1:13" x14ac:dyDescent="0.25">
      <c r="A21" t="s">
        <v>120</v>
      </c>
      <c r="B21" t="s">
        <v>121</v>
      </c>
      <c r="C21" t="s">
        <v>78</v>
      </c>
      <c r="D21" t="s">
        <v>49</v>
      </c>
      <c r="E21" s="1">
        <v>44072</v>
      </c>
      <c r="F21" s="2">
        <v>104500.7</v>
      </c>
      <c r="G21">
        <v>3.3</v>
      </c>
      <c r="H21" t="s">
        <v>50</v>
      </c>
      <c r="I21" t="s">
        <v>122</v>
      </c>
      <c r="J21" s="3">
        <f ca="1">DATEDIF(Table1[[#This Row],[HireDate]], TODAY(), "Y") + DATEDIF(Table1[[#This Row],[HireDate]], TODAY(), "YM")/12</f>
        <v>5.083333333333333</v>
      </c>
      <c r="K21" s="3" t="str">
        <f ca="1">IF(Table1[[#This Row],[YearsofService]]&gt;10,"Above 10 years","Below 10 years")</f>
        <v>Below 10 years</v>
      </c>
      <c r="L21" s="3" t="str">
        <f>IF(Table1[[#This Row],[YearsExperience]]&lt;3,"Less than 3 Years","3 Years and Above")</f>
        <v>3 Years and Above</v>
      </c>
      <c r="M21" t="str">
        <f>IF(Table1[[#This Row],[Salary]] &gt; AVERAGEIFS(Table1[Salary],Table1[Department],Table1[[#This Row],[Department]]), "High Class", "Normal")</f>
        <v>Normal</v>
      </c>
    </row>
    <row r="22" spans="1:13" x14ac:dyDescent="0.25">
      <c r="A22" t="s">
        <v>123</v>
      </c>
      <c r="B22" t="s">
        <v>124</v>
      </c>
      <c r="C22" t="s">
        <v>42</v>
      </c>
      <c r="D22" t="s">
        <v>87</v>
      </c>
      <c r="E22" s="1">
        <v>42706</v>
      </c>
      <c r="F22" s="2">
        <v>78200.350000000006</v>
      </c>
      <c r="G22">
        <v>6.9</v>
      </c>
      <c r="H22" t="s">
        <v>60</v>
      </c>
      <c r="I22" t="s">
        <v>79</v>
      </c>
      <c r="J22" s="3">
        <f ca="1">DATEDIF(Table1[[#This Row],[HireDate]], TODAY(), "Y") + DATEDIF(Table1[[#This Row],[HireDate]], TODAY(), "YM")/12</f>
        <v>8.8333333333333339</v>
      </c>
      <c r="K22" s="3" t="str">
        <f ca="1">IF(Table1[[#This Row],[YearsofService]]&gt;10,"Above 10 years","Below 10 years")</f>
        <v>Below 10 years</v>
      </c>
      <c r="L22" s="3" t="str">
        <f>IF(Table1[[#This Row],[YearsExperience]]&lt;3,"Less than 3 Years","3 Years and Above")</f>
        <v>3 Years and Above</v>
      </c>
      <c r="M22" t="str">
        <f>IF(Table1[[#This Row],[Salary]] &gt; AVERAGEIFS(Table1[Salary],Table1[Department],Table1[[#This Row],[Department]]), "High Class", "Normal")</f>
        <v>Normal</v>
      </c>
    </row>
    <row r="23" spans="1:13" x14ac:dyDescent="0.25">
      <c r="A23" t="s">
        <v>125</v>
      </c>
      <c r="B23" t="s">
        <v>126</v>
      </c>
      <c r="C23" t="s">
        <v>127</v>
      </c>
      <c r="D23" t="s">
        <v>73</v>
      </c>
      <c r="E23" s="1">
        <v>43360</v>
      </c>
      <c r="F23" s="2">
        <v>69800.25</v>
      </c>
      <c r="G23">
        <v>5.2</v>
      </c>
      <c r="H23" t="s">
        <v>83</v>
      </c>
      <c r="I23" t="s">
        <v>128</v>
      </c>
      <c r="J23" s="3">
        <f ca="1">DATEDIF(Table1[[#This Row],[HireDate]], TODAY(), "Y") + DATEDIF(Table1[[#This Row],[HireDate]], TODAY(), "YM")/12</f>
        <v>7.083333333333333</v>
      </c>
      <c r="K23" s="3" t="str">
        <f ca="1">IF(Table1[[#This Row],[YearsofService]]&gt;10,"Above 10 years","Below 10 years")</f>
        <v>Below 10 years</v>
      </c>
      <c r="L23" s="3" t="str">
        <f>IF(Table1[[#This Row],[YearsExperience]]&lt;3,"Less than 3 Years","3 Years and Above")</f>
        <v>3 Years and Above</v>
      </c>
      <c r="M23" t="str">
        <f>IF(Table1[[#This Row],[Salary]] &gt; AVERAGEIFS(Table1[Salary],Table1[Department],Table1[[#This Row],[Department]]), "High Class", "Normal")</f>
        <v>Normal</v>
      </c>
    </row>
    <row r="24" spans="1:13" x14ac:dyDescent="0.25">
      <c r="A24" t="s">
        <v>129</v>
      </c>
      <c r="B24" t="s">
        <v>130</v>
      </c>
      <c r="C24" t="s">
        <v>131</v>
      </c>
      <c r="D24" t="s">
        <v>59</v>
      </c>
      <c r="E24" s="1">
        <v>41021</v>
      </c>
      <c r="F24" s="2">
        <v>134800.95000000001</v>
      </c>
      <c r="G24">
        <v>14.6</v>
      </c>
      <c r="H24" t="s">
        <v>60</v>
      </c>
      <c r="I24" t="s">
        <v>132</v>
      </c>
      <c r="J24" s="3">
        <f ca="1">DATEDIF(Table1[[#This Row],[HireDate]], TODAY(), "Y") + DATEDIF(Table1[[#This Row],[HireDate]], TODAY(), "YM")/12</f>
        <v>13.416666666666666</v>
      </c>
      <c r="K24" s="3" t="str">
        <f ca="1">IF(Table1[[#This Row],[YearsofService]]&gt;10,"Above 10 years","Below 10 years")</f>
        <v>Above 10 years</v>
      </c>
      <c r="L24" s="3" t="str">
        <f>IF(Table1[[#This Row],[YearsExperience]]&lt;3,"Less than 3 Years","3 Years and Above")</f>
        <v>3 Years and Above</v>
      </c>
      <c r="M24" t="str">
        <f>IF(Table1[[#This Row],[Salary]] &gt; AVERAGEIFS(Table1[Salary],Table1[Department],Table1[[#This Row],[Department]]), "High Class", "Normal")</f>
        <v>High Class</v>
      </c>
    </row>
    <row r="25" spans="1:13" x14ac:dyDescent="0.25">
      <c r="A25" t="s">
        <v>133</v>
      </c>
      <c r="B25" t="s">
        <v>134</v>
      </c>
      <c r="C25" t="s">
        <v>135</v>
      </c>
      <c r="D25" t="s">
        <v>55</v>
      </c>
      <c r="E25" s="1">
        <v>43649</v>
      </c>
      <c r="F25" s="2">
        <v>58200.800000000003</v>
      </c>
      <c r="G25">
        <v>3.1</v>
      </c>
      <c r="H25" t="s">
        <v>50</v>
      </c>
      <c r="I25" t="s">
        <v>136</v>
      </c>
      <c r="J25" s="3">
        <f ca="1">DATEDIF(Table1[[#This Row],[HireDate]], TODAY(), "Y") + DATEDIF(Table1[[#This Row],[HireDate]], TODAY(), "YM")/12</f>
        <v>6.25</v>
      </c>
      <c r="K25" s="3" t="str">
        <f ca="1">IF(Table1[[#This Row],[YearsofService]]&gt;10,"Above 10 years","Below 10 years")</f>
        <v>Below 10 years</v>
      </c>
      <c r="L25" s="3" t="str">
        <f>IF(Table1[[#This Row],[YearsExperience]]&lt;3,"Less than 3 Years","3 Years and Above")</f>
        <v>3 Years and Above</v>
      </c>
      <c r="M25" t="str">
        <f>IF(Table1[[#This Row],[Salary]] &gt; AVERAGEIFS(Table1[Salary],Table1[Department],Table1[[#This Row],[Department]]), "High Class", "Normal")</f>
        <v>Normal</v>
      </c>
    </row>
    <row r="26" spans="1:13" x14ac:dyDescent="0.25">
      <c r="A26" t="s">
        <v>137</v>
      </c>
      <c r="B26" t="s">
        <v>138</v>
      </c>
      <c r="C26" t="s">
        <v>69</v>
      </c>
      <c r="D26" t="s">
        <v>43</v>
      </c>
      <c r="E26" s="1">
        <v>42885</v>
      </c>
      <c r="F26" s="2">
        <v>93600.6</v>
      </c>
      <c r="G26">
        <v>7.7</v>
      </c>
      <c r="H26" t="s">
        <v>65</v>
      </c>
      <c r="I26" t="s">
        <v>139</v>
      </c>
      <c r="J26" s="3">
        <f ca="1">DATEDIF(Table1[[#This Row],[HireDate]], TODAY(), "Y") + DATEDIF(Table1[[#This Row],[HireDate]], TODAY(), "YM")/12</f>
        <v>8.3333333333333339</v>
      </c>
      <c r="K26" s="3" t="str">
        <f ca="1">IF(Table1[[#This Row],[YearsofService]]&gt;10,"Above 10 years","Below 10 years")</f>
        <v>Below 10 years</v>
      </c>
      <c r="L26" s="3" t="str">
        <f>IF(Table1[[#This Row],[YearsExperience]]&lt;3,"Less than 3 Years","3 Years and Above")</f>
        <v>3 Years and Above</v>
      </c>
      <c r="M26" t="str">
        <f>IF(Table1[[#This Row],[Salary]] &gt; AVERAGEIFS(Table1[Salary],Table1[Department],Table1[[#This Row],[Department]]), "High Class", "Normal")</f>
        <v>High Class</v>
      </c>
    </row>
    <row r="27" spans="1:13" x14ac:dyDescent="0.25">
      <c r="A27" t="s">
        <v>140</v>
      </c>
      <c r="B27" t="s">
        <v>141</v>
      </c>
      <c r="C27" t="s">
        <v>142</v>
      </c>
      <c r="D27" t="s">
        <v>49</v>
      </c>
      <c r="E27" s="1">
        <v>41939</v>
      </c>
      <c r="F27" s="2">
        <v>128300.2</v>
      </c>
      <c r="G27">
        <v>11.1</v>
      </c>
      <c r="H27" t="s">
        <v>74</v>
      </c>
      <c r="I27" t="s">
        <v>75</v>
      </c>
      <c r="J27" s="3">
        <f ca="1">DATEDIF(Table1[[#This Row],[HireDate]], TODAY(), "Y") + DATEDIF(Table1[[#This Row],[HireDate]], TODAY(), "YM")/12</f>
        <v>10.916666666666666</v>
      </c>
      <c r="K27" s="3" t="str">
        <f ca="1">IF(Table1[[#This Row],[YearsofService]]&gt;10,"Above 10 years","Below 10 years")</f>
        <v>Above 10 years</v>
      </c>
      <c r="L27" s="3" t="str">
        <f>IF(Table1[[#This Row],[YearsExperience]]&lt;3,"Less than 3 Years","3 Years and Above")</f>
        <v>3 Years and Above</v>
      </c>
      <c r="M27" t="str">
        <f>IF(Table1[[#This Row],[Salary]] &gt; AVERAGEIFS(Table1[Salary],Table1[Department],Table1[[#This Row],[Department]]), "High Class", "Normal")</f>
        <v>High Class</v>
      </c>
    </row>
    <row r="28" spans="1:13" x14ac:dyDescent="0.25">
      <c r="A28" t="s">
        <v>143</v>
      </c>
      <c r="B28" t="s">
        <v>144</v>
      </c>
      <c r="C28" t="s">
        <v>145</v>
      </c>
      <c r="D28" t="s">
        <v>55</v>
      </c>
      <c r="E28" s="1">
        <v>42380</v>
      </c>
      <c r="F28" s="2">
        <v>74500.350000000006</v>
      </c>
      <c r="G28">
        <v>8.1999999999999993</v>
      </c>
      <c r="H28" t="s">
        <v>44</v>
      </c>
      <c r="I28" t="s">
        <v>146</v>
      </c>
      <c r="J28" s="3">
        <f ca="1">DATEDIF(Table1[[#This Row],[HireDate]], TODAY(), "Y") + DATEDIF(Table1[[#This Row],[HireDate]], TODAY(), "YM")/12</f>
        <v>9.75</v>
      </c>
      <c r="K28" s="3" t="str">
        <f ca="1">IF(Table1[[#This Row],[YearsofService]]&gt;10,"Above 10 years","Below 10 years")</f>
        <v>Below 10 years</v>
      </c>
      <c r="L28" s="3" t="str">
        <f>IF(Table1[[#This Row],[YearsExperience]]&lt;3,"Less than 3 Years","3 Years and Above")</f>
        <v>3 Years and Above</v>
      </c>
      <c r="M28" t="str">
        <f>IF(Table1[[#This Row],[Salary]] &gt; AVERAGEIFS(Table1[Salary],Table1[Department],Table1[[#This Row],[Department]]), "High Class", "Normal")</f>
        <v>Normal</v>
      </c>
    </row>
    <row r="29" spans="1:13" x14ac:dyDescent="0.25">
      <c r="A29" t="s">
        <v>147</v>
      </c>
      <c r="B29" t="s">
        <v>148</v>
      </c>
      <c r="C29" t="s">
        <v>149</v>
      </c>
      <c r="D29" t="s">
        <v>87</v>
      </c>
      <c r="E29" s="1">
        <v>42204</v>
      </c>
      <c r="F29" s="2">
        <v>81000.55</v>
      </c>
      <c r="G29">
        <v>9.9</v>
      </c>
      <c r="H29" t="s">
        <v>60</v>
      </c>
      <c r="I29" t="s">
        <v>150</v>
      </c>
      <c r="J29" s="3">
        <f ca="1">DATEDIF(Table1[[#This Row],[HireDate]], TODAY(), "Y") + DATEDIF(Table1[[#This Row],[HireDate]], TODAY(), "YM")/12</f>
        <v>10.166666666666666</v>
      </c>
      <c r="K29" s="3" t="str">
        <f ca="1">IF(Table1[[#This Row],[YearsofService]]&gt;10,"Above 10 years","Below 10 years")</f>
        <v>Above 10 years</v>
      </c>
      <c r="L29" s="3" t="str">
        <f>IF(Table1[[#This Row],[YearsExperience]]&lt;3,"Less than 3 Years","3 Years and Above")</f>
        <v>3 Years and Above</v>
      </c>
      <c r="M29" t="str">
        <f>IF(Table1[[#This Row],[Salary]] &gt; AVERAGEIFS(Table1[Salary],Table1[Department],Table1[[#This Row],[Department]]), "High Class", "Normal")</f>
        <v>High Class</v>
      </c>
    </row>
    <row r="30" spans="1:13" x14ac:dyDescent="0.25">
      <c r="A30" t="s">
        <v>151</v>
      </c>
      <c r="B30" t="s">
        <v>152</v>
      </c>
      <c r="C30" t="s">
        <v>54</v>
      </c>
      <c r="D30" t="s">
        <v>49</v>
      </c>
      <c r="E30" s="1">
        <v>43409</v>
      </c>
      <c r="F30" s="2">
        <v>115800</v>
      </c>
      <c r="G30">
        <v>5.4</v>
      </c>
      <c r="H30" t="s">
        <v>65</v>
      </c>
      <c r="I30" t="s">
        <v>153</v>
      </c>
      <c r="J30" s="3">
        <f ca="1">DATEDIF(Table1[[#This Row],[HireDate]], TODAY(), "Y") + DATEDIF(Table1[[#This Row],[HireDate]], TODAY(), "YM")/12</f>
        <v>6.916666666666667</v>
      </c>
      <c r="K30" s="3" t="str">
        <f ca="1">IF(Table1[[#This Row],[YearsofService]]&gt;10,"Above 10 years","Below 10 years")</f>
        <v>Below 10 years</v>
      </c>
      <c r="L30" s="3" t="str">
        <f>IF(Table1[[#This Row],[YearsExperience]]&lt;3,"Less than 3 Years","3 Years and Above")</f>
        <v>3 Years and Above</v>
      </c>
      <c r="M30" t="str">
        <f>IF(Table1[[#This Row],[Salary]] &gt; AVERAGEIFS(Table1[Salary],Table1[Department],Table1[[#This Row],[Department]]), "High Class", "Normal")</f>
        <v>High Class</v>
      </c>
    </row>
    <row r="31" spans="1:13" x14ac:dyDescent="0.25">
      <c r="A31" t="s">
        <v>154</v>
      </c>
      <c r="B31" t="s">
        <v>155</v>
      </c>
      <c r="C31" t="s">
        <v>156</v>
      </c>
      <c r="D31" t="s">
        <v>73</v>
      </c>
      <c r="E31" s="1">
        <v>41540</v>
      </c>
      <c r="F31" s="2">
        <v>99500.75</v>
      </c>
      <c r="G31">
        <v>12.7</v>
      </c>
      <c r="H31" t="s">
        <v>50</v>
      </c>
      <c r="I31" t="s">
        <v>157</v>
      </c>
      <c r="J31" s="3">
        <f ca="1">DATEDIF(Table1[[#This Row],[HireDate]], TODAY(), "Y") + DATEDIF(Table1[[#This Row],[HireDate]], TODAY(), "YM")/12</f>
        <v>12</v>
      </c>
      <c r="K31" s="3" t="str">
        <f ca="1">IF(Table1[[#This Row],[YearsofService]]&gt;10,"Above 10 years","Below 10 years")</f>
        <v>Above 10 years</v>
      </c>
      <c r="L31" s="3" t="str">
        <f>IF(Table1[[#This Row],[YearsExperience]]&lt;3,"Less than 3 Years","3 Years and Above")</f>
        <v>3 Years and Above</v>
      </c>
      <c r="M31" t="str">
        <f>IF(Table1[[#This Row],[Salary]] &gt; AVERAGEIFS(Table1[Salary],Table1[Department],Table1[[#This Row],[Department]]), "High Class", "Normal")</f>
        <v>High Class</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CDA47-E574-48E3-A5B5-D2B3716AFA7D}">
  <dimension ref="A2:I109"/>
  <sheetViews>
    <sheetView topLeftCell="A44" workbookViewId="0">
      <selection sqref="A1:A1048576"/>
    </sheetView>
  </sheetViews>
  <sheetFormatPr defaultRowHeight="15" x14ac:dyDescent="0.25"/>
  <cols>
    <col min="1" max="1" width="21.28515625" bestFit="1" customWidth="1"/>
    <col min="2" max="2" width="14.85546875" bestFit="1" customWidth="1"/>
    <col min="3" max="3" width="14" bestFit="1" customWidth="1"/>
    <col min="4" max="4" width="21.28515625" customWidth="1"/>
    <col min="5" max="5" width="14" bestFit="1" customWidth="1"/>
    <col min="6" max="6" width="30.28515625" bestFit="1" customWidth="1"/>
    <col min="7" max="7" width="16.140625" bestFit="1" customWidth="1"/>
    <col min="8" max="8" width="14.28515625" bestFit="1" customWidth="1"/>
    <col min="9" max="9" width="12.85546875" bestFit="1" customWidth="1"/>
  </cols>
  <sheetData>
    <row r="2" spans="1:6" ht="15.75" x14ac:dyDescent="0.25">
      <c r="A2" s="9" t="s">
        <v>160</v>
      </c>
      <c r="E2" s="9" t="s">
        <v>161</v>
      </c>
    </row>
    <row r="3" spans="1:6" x14ac:dyDescent="0.25">
      <c r="A3" t="s">
        <v>171</v>
      </c>
      <c r="E3" s="4" t="s">
        <v>173</v>
      </c>
      <c r="F3" t="s">
        <v>171</v>
      </c>
    </row>
    <row r="4" spans="1:6" x14ac:dyDescent="0.25">
      <c r="A4" s="12">
        <v>30</v>
      </c>
      <c r="E4" s="5" t="s">
        <v>44</v>
      </c>
      <c r="F4" s="12">
        <v>7</v>
      </c>
    </row>
    <row r="5" spans="1:6" x14ac:dyDescent="0.25">
      <c r="E5" s="6" t="s">
        <v>43</v>
      </c>
      <c r="F5" s="12">
        <v>4</v>
      </c>
    </row>
    <row r="6" spans="1:6" x14ac:dyDescent="0.25">
      <c r="E6" s="6" t="s">
        <v>87</v>
      </c>
      <c r="F6" s="12">
        <v>1</v>
      </c>
    </row>
    <row r="7" spans="1:6" x14ac:dyDescent="0.25">
      <c r="A7" t="s">
        <v>169</v>
      </c>
      <c r="E7" s="6" t="s">
        <v>55</v>
      </c>
      <c r="F7" s="12">
        <v>2</v>
      </c>
    </row>
    <row r="8" spans="1:6" x14ac:dyDescent="0.25">
      <c r="A8" s="2">
        <v>96711.17333333334</v>
      </c>
      <c r="E8" s="5" t="s">
        <v>74</v>
      </c>
      <c r="F8" s="12">
        <v>4</v>
      </c>
    </row>
    <row r="9" spans="1:6" x14ac:dyDescent="0.25">
      <c r="E9" s="6" t="s">
        <v>49</v>
      </c>
      <c r="F9" s="12">
        <v>1</v>
      </c>
    </row>
    <row r="10" spans="1:6" x14ac:dyDescent="0.25">
      <c r="E10" s="6" t="s">
        <v>73</v>
      </c>
      <c r="F10" s="12">
        <v>3</v>
      </c>
    </row>
    <row r="11" spans="1:6" x14ac:dyDescent="0.25">
      <c r="A11" t="s">
        <v>172</v>
      </c>
      <c r="E11" s="5" t="s">
        <v>83</v>
      </c>
      <c r="F11" s="12">
        <v>2</v>
      </c>
    </row>
    <row r="12" spans="1:6" x14ac:dyDescent="0.25">
      <c r="A12" s="12">
        <v>8.129999999999999</v>
      </c>
      <c r="E12" s="6" t="s">
        <v>73</v>
      </c>
      <c r="F12" s="12">
        <v>1</v>
      </c>
    </row>
    <row r="13" spans="1:6" x14ac:dyDescent="0.25">
      <c r="E13" s="6" t="s">
        <v>55</v>
      </c>
      <c r="F13" s="12">
        <v>1</v>
      </c>
    </row>
    <row r="14" spans="1:6" x14ac:dyDescent="0.25">
      <c r="E14" s="5" t="s">
        <v>65</v>
      </c>
      <c r="F14" s="12">
        <v>5</v>
      </c>
    </row>
    <row r="15" spans="1:6" x14ac:dyDescent="0.25">
      <c r="A15" t="s">
        <v>163</v>
      </c>
      <c r="E15" s="6" t="s">
        <v>43</v>
      </c>
      <c r="F15" s="12">
        <v>1</v>
      </c>
    </row>
    <row r="16" spans="1:6" x14ac:dyDescent="0.25">
      <c r="A16" s="2">
        <v>2901335.2</v>
      </c>
      <c r="E16" s="6" t="s">
        <v>49</v>
      </c>
      <c r="F16" s="12">
        <v>4</v>
      </c>
    </row>
    <row r="17" spans="1:6" x14ac:dyDescent="0.25">
      <c r="E17" s="5" t="s">
        <v>50</v>
      </c>
      <c r="F17" s="12">
        <v>5</v>
      </c>
    </row>
    <row r="18" spans="1:6" x14ac:dyDescent="0.25">
      <c r="E18" s="6" t="s">
        <v>49</v>
      </c>
      <c r="F18" s="12">
        <v>2</v>
      </c>
    </row>
    <row r="19" spans="1:6" x14ac:dyDescent="0.25">
      <c r="E19" s="6" t="s">
        <v>73</v>
      </c>
      <c r="F19" s="12">
        <v>1</v>
      </c>
    </row>
    <row r="20" spans="1:6" x14ac:dyDescent="0.25">
      <c r="E20" s="6" t="s">
        <v>55</v>
      </c>
      <c r="F20" s="12">
        <v>2</v>
      </c>
    </row>
    <row r="21" spans="1:6" x14ac:dyDescent="0.25">
      <c r="E21" s="5" t="s">
        <v>60</v>
      </c>
      <c r="F21" s="12">
        <v>7</v>
      </c>
    </row>
    <row r="22" spans="1:6" x14ac:dyDescent="0.25">
      <c r="E22" s="6" t="s">
        <v>87</v>
      </c>
      <c r="F22" s="12">
        <v>3</v>
      </c>
    </row>
    <row r="23" spans="1:6" x14ac:dyDescent="0.25">
      <c r="E23" s="6" t="s">
        <v>49</v>
      </c>
      <c r="F23" s="12">
        <v>2</v>
      </c>
    </row>
    <row r="24" spans="1:6" x14ac:dyDescent="0.25">
      <c r="E24" s="6" t="s">
        <v>59</v>
      </c>
      <c r="F24" s="12">
        <v>2</v>
      </c>
    </row>
    <row r="25" spans="1:6" x14ac:dyDescent="0.25">
      <c r="E25" s="5" t="s">
        <v>159</v>
      </c>
      <c r="F25" s="12">
        <v>30</v>
      </c>
    </row>
    <row r="30" spans="1:6" ht="15.75" x14ac:dyDescent="0.25">
      <c r="A30" s="9" t="s">
        <v>162</v>
      </c>
      <c r="E30" s="9" t="s">
        <v>162</v>
      </c>
    </row>
    <row r="31" spans="1:6" x14ac:dyDescent="0.25">
      <c r="A31" s="4" t="s">
        <v>34</v>
      </c>
      <c r="B31" t="s">
        <v>172</v>
      </c>
      <c r="E31" s="4" t="s">
        <v>175</v>
      </c>
      <c r="F31" t="s">
        <v>171</v>
      </c>
    </row>
    <row r="32" spans="1:6" x14ac:dyDescent="0.25">
      <c r="A32" s="5" t="s">
        <v>59</v>
      </c>
      <c r="B32" s="7">
        <v>13</v>
      </c>
      <c r="E32" s="5" t="s">
        <v>184</v>
      </c>
      <c r="F32" s="12">
        <v>2</v>
      </c>
    </row>
    <row r="33" spans="1:8" x14ac:dyDescent="0.25">
      <c r="A33" s="5" t="s">
        <v>43</v>
      </c>
      <c r="B33" s="7">
        <v>10.559999999999999</v>
      </c>
      <c r="E33" s="5" t="s">
        <v>181</v>
      </c>
      <c r="F33" s="12">
        <v>3</v>
      </c>
    </row>
    <row r="34" spans="1:8" x14ac:dyDescent="0.25">
      <c r="A34" s="5" t="s">
        <v>87</v>
      </c>
      <c r="B34" s="7">
        <v>8.75</v>
      </c>
      <c r="E34" s="5" t="s">
        <v>185</v>
      </c>
      <c r="F34" s="12">
        <v>3</v>
      </c>
    </row>
    <row r="35" spans="1:8" x14ac:dyDescent="0.25">
      <c r="A35" s="5" t="s">
        <v>49</v>
      </c>
      <c r="B35" s="7">
        <v>7.5333333333333332</v>
      </c>
      <c r="E35" s="5" t="s">
        <v>182</v>
      </c>
      <c r="F35" s="12">
        <v>3</v>
      </c>
    </row>
    <row r="36" spans="1:8" x14ac:dyDescent="0.25">
      <c r="A36" s="5" t="s">
        <v>73</v>
      </c>
      <c r="B36" s="7">
        <v>7.1199999999999992</v>
      </c>
      <c r="E36" s="5" t="s">
        <v>186</v>
      </c>
      <c r="F36" s="12">
        <v>4</v>
      </c>
    </row>
    <row r="37" spans="1:8" x14ac:dyDescent="0.25">
      <c r="A37" s="5" t="s">
        <v>55</v>
      </c>
      <c r="B37" s="7">
        <v>5.34</v>
      </c>
      <c r="E37" s="5" t="s">
        <v>180</v>
      </c>
      <c r="F37" s="12">
        <v>3</v>
      </c>
    </row>
    <row r="38" spans="1:8" x14ac:dyDescent="0.25">
      <c r="A38" s="5" t="s">
        <v>159</v>
      </c>
      <c r="B38" s="7">
        <v>8.129999999999999</v>
      </c>
      <c r="E38" s="5" t="s">
        <v>174</v>
      </c>
      <c r="F38" s="12">
        <v>4</v>
      </c>
    </row>
    <row r="39" spans="1:8" x14ac:dyDescent="0.25">
      <c r="E39" s="5" t="s">
        <v>187</v>
      </c>
      <c r="F39" s="12">
        <v>4</v>
      </c>
    </row>
    <row r="40" spans="1:8" x14ac:dyDescent="0.25">
      <c r="E40" s="5" t="s">
        <v>188</v>
      </c>
      <c r="F40" s="12">
        <v>2</v>
      </c>
    </row>
    <row r="41" spans="1:8" x14ac:dyDescent="0.25">
      <c r="E41" s="5" t="s">
        <v>183</v>
      </c>
      <c r="F41" s="12">
        <v>1</v>
      </c>
    </row>
    <row r="42" spans="1:8" x14ac:dyDescent="0.25">
      <c r="E42" s="5" t="s">
        <v>189</v>
      </c>
      <c r="F42" s="12">
        <v>1</v>
      </c>
    </row>
    <row r="43" spans="1:8" x14ac:dyDescent="0.25">
      <c r="E43" s="5" t="s">
        <v>159</v>
      </c>
      <c r="F43" s="12">
        <v>30</v>
      </c>
    </row>
    <row r="48" spans="1:8" ht="15.75" x14ac:dyDescent="0.25">
      <c r="A48" s="9" t="s">
        <v>165</v>
      </c>
      <c r="E48" s="9" t="s">
        <v>165</v>
      </c>
      <c r="H48" s="9" t="s">
        <v>165</v>
      </c>
    </row>
    <row r="49" spans="1:9" x14ac:dyDescent="0.25">
      <c r="A49" s="4" t="s">
        <v>34</v>
      </c>
      <c r="B49" t="s">
        <v>169</v>
      </c>
      <c r="C49" t="s">
        <v>163</v>
      </c>
      <c r="E49" s="4" t="s">
        <v>38</v>
      </c>
      <c r="F49" t="s">
        <v>169</v>
      </c>
      <c r="H49" s="4" t="s">
        <v>170</v>
      </c>
      <c r="I49" t="s">
        <v>163</v>
      </c>
    </row>
    <row r="50" spans="1:9" x14ac:dyDescent="0.25">
      <c r="A50" s="5" t="s">
        <v>49</v>
      </c>
      <c r="B50" s="2">
        <v>113293.46888888888</v>
      </c>
      <c r="C50" s="2">
        <v>1019641.2199999999</v>
      </c>
      <c r="E50" s="5" t="s">
        <v>65</v>
      </c>
      <c r="F50" s="2">
        <v>114370.41</v>
      </c>
      <c r="H50" s="5" t="s">
        <v>130</v>
      </c>
      <c r="I50" s="2">
        <v>134800.95000000001</v>
      </c>
    </row>
    <row r="51" spans="1:9" x14ac:dyDescent="0.25">
      <c r="A51" s="5" t="s">
        <v>43</v>
      </c>
      <c r="B51" s="2">
        <v>91752.645999999993</v>
      </c>
      <c r="C51" s="2">
        <v>458763.23</v>
      </c>
      <c r="E51" s="5" t="s">
        <v>60</v>
      </c>
      <c r="F51" s="2">
        <v>99100.471428571429</v>
      </c>
      <c r="H51" s="5" t="s">
        <v>77</v>
      </c>
      <c r="I51" s="2">
        <v>134200</v>
      </c>
    </row>
    <row r="52" spans="1:9" x14ac:dyDescent="0.25">
      <c r="A52" s="5" t="s">
        <v>55</v>
      </c>
      <c r="B52" s="2">
        <v>90305.05</v>
      </c>
      <c r="C52" s="2">
        <v>451525.25</v>
      </c>
      <c r="E52" s="5" t="s">
        <v>50</v>
      </c>
      <c r="F52" s="2">
        <v>95518.093999999997</v>
      </c>
      <c r="H52" s="5" t="s">
        <v>141</v>
      </c>
      <c r="I52" s="2">
        <v>128300.2</v>
      </c>
    </row>
    <row r="53" spans="1:9" x14ac:dyDescent="0.25">
      <c r="A53" s="5" t="s">
        <v>73</v>
      </c>
      <c r="B53" s="2">
        <v>78200.459999999992</v>
      </c>
      <c r="C53" s="2">
        <v>391002.3</v>
      </c>
      <c r="E53" s="5" t="s">
        <v>83</v>
      </c>
      <c r="F53" s="2">
        <v>91050.45</v>
      </c>
      <c r="H53" s="5" t="s">
        <v>115</v>
      </c>
      <c r="I53" s="2">
        <v>125700.85</v>
      </c>
    </row>
    <row r="54" spans="1:9" x14ac:dyDescent="0.25">
      <c r="A54" s="5" t="s">
        <v>87</v>
      </c>
      <c r="B54" s="2">
        <v>80025.5625</v>
      </c>
      <c r="C54" s="2">
        <v>320102.25</v>
      </c>
      <c r="E54" s="5" t="s">
        <v>44</v>
      </c>
      <c r="F54" s="2">
        <v>89440.997142857144</v>
      </c>
      <c r="H54" s="5" t="s">
        <v>57</v>
      </c>
      <c r="I54" s="2">
        <v>125500</v>
      </c>
    </row>
    <row r="55" spans="1:9" x14ac:dyDescent="0.25">
      <c r="A55" s="5" t="s">
        <v>59</v>
      </c>
      <c r="B55" s="2">
        <v>130150.47500000001</v>
      </c>
      <c r="C55" s="2">
        <v>260300.95</v>
      </c>
      <c r="E55" s="5" t="s">
        <v>74</v>
      </c>
      <c r="F55" s="2">
        <v>87500.375</v>
      </c>
      <c r="H55" s="5" t="s">
        <v>159</v>
      </c>
      <c r="I55" s="2">
        <v>648502</v>
      </c>
    </row>
    <row r="56" spans="1:9" x14ac:dyDescent="0.25">
      <c r="A56" s="5" t="s">
        <v>159</v>
      </c>
      <c r="B56" s="2">
        <v>96711.17333333334</v>
      </c>
      <c r="C56" s="2">
        <v>2901335.2</v>
      </c>
      <c r="E56" s="5" t="s">
        <v>159</v>
      </c>
      <c r="F56" s="2">
        <v>96711.173333333325</v>
      </c>
    </row>
    <row r="72" spans="1:6" ht="15.75" x14ac:dyDescent="0.25">
      <c r="A72" s="9" t="s">
        <v>167</v>
      </c>
      <c r="E72" s="9" t="s">
        <v>167</v>
      </c>
    </row>
    <row r="73" spans="1:6" x14ac:dyDescent="0.25">
      <c r="A73" s="4" t="s">
        <v>178</v>
      </c>
      <c r="B73" t="s">
        <v>171</v>
      </c>
      <c r="E73" s="4" t="s">
        <v>34</v>
      </c>
      <c r="F73" t="s">
        <v>179</v>
      </c>
    </row>
    <row r="74" spans="1:6" x14ac:dyDescent="0.25">
      <c r="A74" s="5" t="s">
        <v>177</v>
      </c>
      <c r="B74" s="12">
        <v>3</v>
      </c>
      <c r="E74" s="5" t="s">
        <v>49</v>
      </c>
      <c r="F74" s="12">
        <v>9</v>
      </c>
    </row>
    <row r="75" spans="1:6" x14ac:dyDescent="0.25">
      <c r="A75" s="5" t="s">
        <v>159</v>
      </c>
      <c r="B75" s="12">
        <v>3</v>
      </c>
      <c r="E75" s="5" t="s">
        <v>43</v>
      </c>
      <c r="F75" s="12">
        <v>5</v>
      </c>
    </row>
    <row r="76" spans="1:6" x14ac:dyDescent="0.25">
      <c r="E76" s="5" t="s">
        <v>55</v>
      </c>
      <c r="F76" s="12">
        <v>5</v>
      </c>
    </row>
    <row r="77" spans="1:6" x14ac:dyDescent="0.25">
      <c r="E77" s="5" t="s">
        <v>73</v>
      </c>
      <c r="F77" s="12">
        <v>5</v>
      </c>
    </row>
    <row r="78" spans="1:6" x14ac:dyDescent="0.25">
      <c r="E78" s="5" t="s">
        <v>87</v>
      </c>
      <c r="F78" s="12">
        <v>4</v>
      </c>
    </row>
    <row r="79" spans="1:6" x14ac:dyDescent="0.25">
      <c r="E79" s="5" t="s">
        <v>59</v>
      </c>
      <c r="F79" s="12">
        <v>2</v>
      </c>
    </row>
    <row r="80" spans="1:6" x14ac:dyDescent="0.25">
      <c r="E80" s="5" t="s">
        <v>159</v>
      </c>
      <c r="F80" s="12">
        <v>30</v>
      </c>
    </row>
    <row r="84" spans="1:6" ht="15.75" x14ac:dyDescent="0.25">
      <c r="A84" s="9" t="s">
        <v>168</v>
      </c>
      <c r="E84" s="9" t="s">
        <v>168</v>
      </c>
    </row>
    <row r="85" spans="1:6" x14ac:dyDescent="0.25">
      <c r="A85" s="4" t="s">
        <v>39</v>
      </c>
      <c r="B85" t="s">
        <v>171</v>
      </c>
      <c r="E85" s="4" t="s">
        <v>39</v>
      </c>
      <c r="F85" t="s">
        <v>163</v>
      </c>
    </row>
    <row r="86" spans="1:6" x14ac:dyDescent="0.25">
      <c r="A86" s="5" t="s">
        <v>51</v>
      </c>
      <c r="B86" s="12">
        <v>3</v>
      </c>
      <c r="E86" s="10" t="s">
        <v>51</v>
      </c>
      <c r="F86" s="11">
        <v>315211.81999999995</v>
      </c>
    </row>
    <row r="87" spans="1:6" x14ac:dyDescent="0.25">
      <c r="A87" s="5" t="s">
        <v>45</v>
      </c>
      <c r="B87" s="12">
        <v>3</v>
      </c>
      <c r="E87" s="5" t="s">
        <v>75</v>
      </c>
      <c r="F87" s="2">
        <v>289801.05</v>
      </c>
    </row>
    <row r="88" spans="1:6" x14ac:dyDescent="0.25">
      <c r="A88" s="5" t="s">
        <v>75</v>
      </c>
      <c r="B88" s="12">
        <v>3</v>
      </c>
      <c r="E88" s="5" t="s">
        <v>45</v>
      </c>
      <c r="F88" s="2">
        <v>265361.88</v>
      </c>
    </row>
    <row r="89" spans="1:6" x14ac:dyDescent="0.25">
      <c r="A89" s="5" t="s">
        <v>159</v>
      </c>
      <c r="B89" s="12">
        <v>9</v>
      </c>
      <c r="E89" s="5" t="s">
        <v>79</v>
      </c>
      <c r="F89" s="2">
        <v>212400.35</v>
      </c>
    </row>
    <row r="90" spans="1:6" x14ac:dyDescent="0.25">
      <c r="E90" s="5" t="s">
        <v>132</v>
      </c>
      <c r="F90" s="2">
        <v>134800.95000000001</v>
      </c>
    </row>
    <row r="91" spans="1:6" x14ac:dyDescent="0.25">
      <c r="E91" s="5" t="s">
        <v>116</v>
      </c>
      <c r="F91" s="2">
        <v>125700.85</v>
      </c>
    </row>
    <row r="92" spans="1:6" x14ac:dyDescent="0.25">
      <c r="E92" s="5" t="s">
        <v>61</v>
      </c>
      <c r="F92" s="2">
        <v>125500</v>
      </c>
    </row>
    <row r="93" spans="1:6" x14ac:dyDescent="0.25">
      <c r="E93" s="5" t="s">
        <v>100</v>
      </c>
      <c r="F93" s="2">
        <v>121300.1</v>
      </c>
    </row>
    <row r="94" spans="1:6" x14ac:dyDescent="0.25">
      <c r="E94" s="5" t="s">
        <v>153</v>
      </c>
      <c r="F94" s="2">
        <v>115800</v>
      </c>
    </row>
    <row r="95" spans="1:6" x14ac:dyDescent="0.25">
      <c r="E95" s="5" t="s">
        <v>66</v>
      </c>
      <c r="F95" s="2">
        <v>115450.5</v>
      </c>
    </row>
    <row r="96" spans="1:6" x14ac:dyDescent="0.25">
      <c r="E96" s="5" t="s">
        <v>106</v>
      </c>
      <c r="F96" s="2">
        <v>109500.25</v>
      </c>
    </row>
    <row r="97" spans="5:6" x14ac:dyDescent="0.25">
      <c r="E97" s="5" t="s">
        <v>122</v>
      </c>
      <c r="F97" s="2">
        <v>104500.7</v>
      </c>
    </row>
    <row r="98" spans="5:6" x14ac:dyDescent="0.25">
      <c r="E98" s="5" t="s">
        <v>103</v>
      </c>
      <c r="F98" s="2">
        <v>99800.75</v>
      </c>
    </row>
    <row r="99" spans="5:6" x14ac:dyDescent="0.25">
      <c r="E99" s="5" t="s">
        <v>157</v>
      </c>
      <c r="F99" s="2">
        <v>99500.75</v>
      </c>
    </row>
    <row r="100" spans="5:6" x14ac:dyDescent="0.25">
      <c r="E100" s="5" t="s">
        <v>139</v>
      </c>
      <c r="F100" s="2">
        <v>93600.6</v>
      </c>
    </row>
    <row r="101" spans="5:6" x14ac:dyDescent="0.25">
      <c r="E101" s="5" t="s">
        <v>88</v>
      </c>
      <c r="F101" s="2">
        <v>89400.8</v>
      </c>
    </row>
    <row r="102" spans="5:6" x14ac:dyDescent="0.25">
      <c r="E102" s="5" t="s">
        <v>150</v>
      </c>
      <c r="F102" s="2">
        <v>81000.55</v>
      </c>
    </row>
    <row r="103" spans="5:6" x14ac:dyDescent="0.25">
      <c r="E103" s="5" t="s">
        <v>146</v>
      </c>
      <c r="F103" s="2">
        <v>74500.350000000006</v>
      </c>
    </row>
    <row r="104" spans="5:6" x14ac:dyDescent="0.25">
      <c r="E104" s="5" t="s">
        <v>110</v>
      </c>
      <c r="F104" s="2">
        <v>71500.55</v>
      </c>
    </row>
    <row r="105" spans="5:6" x14ac:dyDescent="0.25">
      <c r="E105" s="5" t="s">
        <v>128</v>
      </c>
      <c r="F105" s="2">
        <v>69800.25</v>
      </c>
    </row>
    <row r="106" spans="5:6" x14ac:dyDescent="0.25">
      <c r="E106" s="5" t="s">
        <v>92</v>
      </c>
      <c r="F106" s="2">
        <v>68500.899999999994</v>
      </c>
    </row>
    <row r="107" spans="5:6" x14ac:dyDescent="0.25">
      <c r="E107" s="5" t="s">
        <v>96</v>
      </c>
      <c r="F107" s="2">
        <v>60200.45</v>
      </c>
    </row>
    <row r="108" spans="5:6" x14ac:dyDescent="0.25">
      <c r="E108" s="5" t="s">
        <v>136</v>
      </c>
      <c r="F108" s="2">
        <v>58200.800000000003</v>
      </c>
    </row>
    <row r="109" spans="5:6" x14ac:dyDescent="0.25">
      <c r="E109" s="5" t="s">
        <v>159</v>
      </c>
      <c r="F109" s="2">
        <v>2901335.2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5AD85-6463-49F5-8CB6-F13DE84C317B}">
  <dimension ref="A1:A2"/>
  <sheetViews>
    <sheetView showGridLines="0" tabSelected="1" topLeftCell="A2" zoomScale="50" zoomScaleNormal="50" workbookViewId="0">
      <selection activeCell="AL10" sqref="AL10"/>
    </sheetView>
  </sheetViews>
  <sheetFormatPr defaultRowHeight="17.25" x14ac:dyDescent="0.3"/>
  <cols>
    <col min="1" max="6" width="9.140625" style="8"/>
    <col min="7" max="7" width="13.140625" style="8" bestFit="1" customWidth="1"/>
    <col min="8" max="8" width="12.85546875" style="8" bestFit="1" customWidth="1"/>
    <col min="9" max="16384" width="9.140625" style="8"/>
  </cols>
  <sheetData>
    <row r="1" s="8" customFormat="1" x14ac:dyDescent="0.3"/>
    <row r="2" s="8" customFormat="1" x14ac:dyDescent="0.3"/>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Analysis</vt:lpstr>
      <vt:lpstr>Cleaned Data</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Abayomi Yusuf Okunlola</dc:creator>
  <cp:lastModifiedBy>Ibitayo Esther</cp:lastModifiedBy>
  <dcterms:created xsi:type="dcterms:W3CDTF">2025-10-11T17:29:19Z</dcterms:created>
  <dcterms:modified xsi:type="dcterms:W3CDTF">2025-10-18T16:45:04Z</dcterms:modified>
</cp:coreProperties>
</file>